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triz_Pixeles" sheetId="2" state="visible" r:id="rId4"/>
    <sheet name="Detalle_Largo" sheetId="3" state="visible" r:id="rId5"/>
    <sheet name="Pendientes_Chrome_Ghostery" sheetId="4" state="visible" r:id="rId6"/>
    <sheet name="Benchmarks_CPA" sheetId="5" state="visible" r:id="rId7"/>
  </sheets>
  <definedNames>
    <definedName function="false" hidden="true" localSheetId="2" name="_xlnm._FilterDatabase" vbProcedure="false">Detalle_Largo!$A$1:$G$765</definedName>
    <definedName function="false" hidden="true" localSheetId="1" name="_xlnm._FilterDatabase" vbProcedure="false">Matriz_Pixeles!$A$2:$CJ$102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<sst xmlns="http://schemas.openxmlformats.org/spreadsheetml/2006/main" count="6655" uniqueCount="518">
  <si>
    <t xml:space="preserve">Pixeles y ad tech instalados — Top 100 eCommerce México × LSIX</t>
  </si>
  <si>
    <t xml:space="preserve">Vendors agregados por solicitud (21-ago): Ogury, Quantcast, Smarterclick, Acuity Ads/illumin, AppNexus, Google Dynamic Remarketing (Taboola y Xandr ya estaban). Método: (1) navegador headless Chromium capturando todas las requests de red de la home (equivalente a Ghostery), ~10s + scroll; (2) HTML + contenedores GTM. Solo home page: pixeles que disparan únicamente en checkout/thank-you pueden no aparecer. Fecha: 21-ago-2026.</t>
  </si>
  <si>
    <t xml:space="preserve">Sitios escaneados</t>
  </si>
  <si>
    <t xml:space="preserve">Con lectura válida</t>
  </si>
  <si>
    <t xml:space="preserve">Bloqueados (pendiente Chrome/Ghostery)</t>
  </si>
  <si>
    <t xml:space="preserve">Vendor / pixel</t>
  </si>
  <si>
    <t xml:space="preserve">Categoría</t>
  </si>
  <si>
    <t xml:space="preserve"># sitios</t>
  </si>
  <si>
    <t xml:space="preserve">% de sitios con lectura</t>
  </si>
  <si>
    <t xml:space="preserve">Google Ads / gtag</t>
  </si>
  <si>
    <t xml:space="preserve">Paid media</t>
  </si>
  <si>
    <t xml:space="preserve">Meta Pixel</t>
  </si>
  <si>
    <t xml:space="preserve">TikTok Pixel</t>
  </si>
  <si>
    <t xml:space="preserve">Pinterest Tag</t>
  </si>
  <si>
    <t xml:space="preserve">Snap Pixel</t>
  </si>
  <si>
    <t xml:space="preserve">LinkedIn Insight</t>
  </si>
  <si>
    <t xml:space="preserve">X / Twitter Pixel</t>
  </si>
  <si>
    <t xml:space="preserve">Microsoft Ads (UET)</t>
  </si>
  <si>
    <t xml:space="preserve">Amazon Ads</t>
  </si>
  <si>
    <t xml:space="preserve">Criteo</t>
  </si>
  <si>
    <t xml:space="preserve">Retargeting / CPA</t>
  </si>
  <si>
    <t xml:space="preserve">RTB House</t>
  </si>
  <si>
    <t xml:space="preserve">Google Dynamic Remarketing</t>
  </si>
  <si>
    <t xml:space="preserve">Smarterclick</t>
  </si>
  <si>
    <t xml:space="preserve">Taboola</t>
  </si>
  <si>
    <t xml:space="preserve">Native</t>
  </si>
  <si>
    <t xml:space="preserve">Outbrain</t>
  </si>
  <si>
    <t xml:space="preserve">Awin</t>
  </si>
  <si>
    <t xml:space="preserve">Afiliados</t>
  </si>
  <si>
    <t xml:space="preserve">Impact</t>
  </si>
  <si>
    <t xml:space="preserve">CJ Affiliate</t>
  </si>
  <si>
    <t xml:space="preserve">Rakuten Advertising</t>
  </si>
  <si>
    <t xml:space="preserve">Admitad</t>
  </si>
  <si>
    <t xml:space="preserve">Soicos</t>
  </si>
  <si>
    <t xml:space="preserve">Partnerize</t>
  </si>
  <si>
    <t xml:space="preserve">AppsFlyer</t>
  </si>
  <si>
    <t xml:space="preserve">MMP / App</t>
  </si>
  <si>
    <t xml:space="preserve">Adjust</t>
  </si>
  <si>
    <t xml:space="preserve">Branch</t>
  </si>
  <si>
    <t xml:space="preserve">Kochava</t>
  </si>
  <si>
    <t xml:space="preserve">Singular</t>
  </si>
  <si>
    <t xml:space="preserve">DoubleClick Floodlight / DV360 / CM360</t>
  </si>
  <si>
    <t xml:space="preserve">Programmatic (Google)</t>
  </si>
  <si>
    <t xml:space="preserve">Adform</t>
  </si>
  <si>
    <t xml:space="preserve">Programmatic</t>
  </si>
  <si>
    <t xml:space="preserve">Xandr / AppNexus</t>
  </si>
  <si>
    <t xml:space="preserve">The Trade Desk</t>
  </si>
  <si>
    <t xml:space="preserve">Ogury</t>
  </si>
  <si>
    <t xml:space="preserve">Acuity Ads / illumin</t>
  </si>
  <si>
    <t xml:space="preserve">AppNexus (Xandr legacy)</t>
  </si>
  <si>
    <t xml:space="preserve">MediaMath</t>
  </si>
  <si>
    <t xml:space="preserve">Yahoo DSP</t>
  </si>
  <si>
    <t xml:space="preserve">Seedtag</t>
  </si>
  <si>
    <t xml:space="preserve">Contextual</t>
  </si>
  <si>
    <t xml:space="preserve">Teads</t>
  </si>
  <si>
    <t xml:space="preserve">Video/Native</t>
  </si>
  <si>
    <t xml:space="preserve">Quantcast</t>
  </si>
  <si>
    <t xml:space="preserve">Data / DMP</t>
  </si>
  <si>
    <t xml:space="preserve">Retargetly</t>
  </si>
  <si>
    <t xml:space="preserve">Lotame</t>
  </si>
  <si>
    <t xml:space="preserve">Oracle BlueKai</t>
  </si>
  <si>
    <t xml:space="preserve">Adobe Audience Manager</t>
  </si>
  <si>
    <t xml:space="preserve">LiveRamp</t>
  </si>
  <si>
    <t xml:space="preserve">Identity</t>
  </si>
  <si>
    <t xml:space="preserve">ID5</t>
  </si>
  <si>
    <t xml:space="preserve">Google Tag Manager</t>
  </si>
  <si>
    <t xml:space="preserve">Tag mgmt</t>
  </si>
  <si>
    <t xml:space="preserve">Tealium</t>
  </si>
  <si>
    <t xml:space="preserve">GA4</t>
  </si>
  <si>
    <t xml:space="preserve">Analytics</t>
  </si>
  <si>
    <t xml:space="preserve">Adobe Analytics</t>
  </si>
  <si>
    <t xml:space="preserve">Segment</t>
  </si>
  <si>
    <t xml:space="preserve">CDP</t>
  </si>
  <si>
    <t xml:space="preserve">Hotjar</t>
  </si>
  <si>
    <t xml:space="preserve">UX</t>
  </si>
  <si>
    <t xml:space="preserve">Microsoft Clarity</t>
  </si>
  <si>
    <t xml:space="preserve">Contentsquare</t>
  </si>
  <si>
    <t xml:space="preserve">FullStory</t>
  </si>
  <si>
    <t xml:space="preserve">Insider</t>
  </si>
  <si>
    <t xml:space="preserve">Martech / CRM</t>
  </si>
  <si>
    <t xml:space="preserve">Emarsys (SAP)</t>
  </si>
  <si>
    <t xml:space="preserve">Salesforce Marketing Cloud</t>
  </si>
  <si>
    <t xml:space="preserve">Braze</t>
  </si>
  <si>
    <t xml:space="preserve">CleverTap</t>
  </si>
  <si>
    <t xml:space="preserve">MoEngage</t>
  </si>
  <si>
    <t xml:space="preserve">Klaviyo</t>
  </si>
  <si>
    <t xml:space="preserve">HubSpot</t>
  </si>
  <si>
    <t xml:space="preserve">Connectif</t>
  </si>
  <si>
    <t xml:space="preserve">Bloomreach</t>
  </si>
  <si>
    <t xml:space="preserve">Dynamic Yield</t>
  </si>
  <si>
    <t xml:space="preserve">Personalización</t>
  </si>
  <si>
    <t xml:space="preserve">Retail Rocket</t>
  </si>
  <si>
    <t xml:space="preserve">Algolia</t>
  </si>
  <si>
    <t xml:space="preserve">Search</t>
  </si>
  <si>
    <t xml:space="preserve">Bazaarvoice</t>
  </si>
  <si>
    <t xml:space="preserve">Reviews</t>
  </si>
  <si>
    <t xml:space="preserve">Yotpo</t>
  </si>
  <si>
    <t xml:space="preserve">Zendesk</t>
  </si>
  <si>
    <t xml:space="preserve">Chat</t>
  </si>
  <si>
    <t xml:space="preserve">Intercom</t>
  </si>
  <si>
    <t xml:space="preserve">Shopify</t>
  </si>
  <si>
    <t xml:space="preserve">Plataforma</t>
  </si>
  <si>
    <t xml:space="preserve">VTEX</t>
  </si>
  <si>
    <t xml:space="preserve">Salesforce Commerce Cloud</t>
  </si>
  <si>
    <t xml:space="preserve">Adobe Commerce (Magento)</t>
  </si>
  <si>
    <t xml:space="preserve">SAP Commerce</t>
  </si>
  <si>
    <t xml:space="preserve">Akamai</t>
  </si>
  <si>
    <t xml:space="preserve">Infra</t>
  </si>
  <si>
    <t xml:space="preserve">Cloudflare</t>
  </si>
  <si>
    <t xml:space="preserve">Señales clave por categoría de empresa</t>
  </si>
  <si>
    <t xml:space="preserve">Sitios</t>
  </si>
  <si>
    <t xml:space="preserve">Con lectura</t>
  </si>
  <si>
    <t xml:space="preserve">Taboola/Outbrain</t>
  </si>
  <si>
    <t xml:space="preserve">Afiliados (cualquiera)</t>
  </si>
  <si>
    <t xml:space="preserve">MMP (cualquiera)</t>
  </si>
  <si>
    <t xml:space="preserve">TikTok</t>
  </si>
  <si>
    <t xml:space="preserve">Meta</t>
  </si>
  <si>
    <t xml:space="preserve">Marketplace</t>
  </si>
  <si>
    <t xml:space="preserve">Departamental</t>
  </si>
  <si>
    <t xml:space="preserve">Autoservicio / Grocery</t>
  </si>
  <si>
    <t xml:space="preserve">Delivery / QSR</t>
  </si>
  <si>
    <t xml:space="preserve">Farmacia</t>
  </si>
  <si>
    <t xml:space="preserve">Beauty</t>
  </si>
  <si>
    <t xml:space="preserve">Moda / Calzado</t>
  </si>
  <si>
    <t xml:space="preserve">Deportes</t>
  </si>
  <si>
    <t xml:space="preserve">Electrónica / Tech</t>
  </si>
  <si>
    <t xml:space="preserve">Hogar / Oficina / Variedad</t>
  </si>
  <si>
    <t xml:space="preserve">Travel / Movilidad</t>
  </si>
  <si>
    <t xml:space="preserve">Entretenimiento / Ticketing</t>
  </si>
  <si>
    <t xml:space="preserve">Auto</t>
  </si>
  <si>
    <t xml:space="preserve">Nicho (mascotas, libros, juguetes, óptica, regalos)</t>
  </si>
  <si>
    <t xml:space="preserve">Fintech / BNPL / Wallet</t>
  </si>
  <si>
    <t xml:space="preserve">Telco</t>
  </si>
  <si>
    <t xml:space="preserve">#</t>
  </si>
  <si>
    <t xml:space="preserve">Empresa</t>
  </si>
  <si>
    <t xml:space="preserve">Dominio</t>
  </si>
  <si>
    <t xml:space="preserve">En CRM</t>
  </si>
  <si>
    <t xml:space="preserve">Estatus scan</t>
  </si>
  <si>
    <t xml:space="preserve">Método</t>
  </si>
  <si>
    <t xml:space="preserve"># trackers</t>
  </si>
  <si>
    <t xml:space="preserve">GTM IDs</t>
  </si>
  <si>
    <t xml:space="preserve">Señal CPA / fit LSIX</t>
  </si>
  <si>
    <t xml:space="preserve">Mercado Libre</t>
  </si>
  <si>
    <t xml:space="preserve">mercadolibre.com.mx</t>
  </si>
  <si>
    <t xml:space="preserve">Sí</t>
  </si>
  <si>
    <t xml:space="preserve">HTTP 200</t>
  </si>
  <si>
    <t xml:space="preserve">Red (navegador) + HTML/GTM</t>
  </si>
  <si>
    <t xml:space="preserve">Amazon México</t>
  </si>
  <si>
    <t xml:space="preserve">amazon.com.mx</t>
  </si>
  <si>
    <t xml:space="preserve">HTTP 202</t>
  </si>
  <si>
    <t xml:space="preserve">HTML/GTM</t>
  </si>
  <si>
    <t xml:space="preserve">Temu</t>
  </si>
  <si>
    <t xml:space="preserve">temu.com</t>
  </si>
  <si>
    <t xml:space="preserve">No</t>
  </si>
  <si>
    <t xml:space="preserve">Native/performance</t>
  </si>
  <si>
    <t xml:space="preserve">AliExpress</t>
  </si>
  <si>
    <t xml:space="preserve">aliexpress.com</t>
  </si>
  <si>
    <t xml:space="preserve">BLOQUEADO · revisar en Chrome/Ghostery</t>
  </si>
  <si>
    <t xml:space="preserve">Shein</t>
  </si>
  <si>
    <t xml:space="preserve">shein.com.mx</t>
  </si>
  <si>
    <t xml:space="preserve">Programa de afiliados activo (ya paga CPA)</t>
  </si>
  <si>
    <t xml:space="preserve">Claro Shop (Grupo Carso)</t>
  </si>
  <si>
    <t xml:space="preserve">claroshop.com</t>
  </si>
  <si>
    <t xml:space="preserve">GTM-K7PM8MQ</t>
  </si>
  <si>
    <t xml:space="preserve">Retargeting a CPA/CPC (RTB House/Criteo/Smarterclick) · MMP instalado (atribución app lista) · Native/performance</t>
  </si>
  <si>
    <t xml:space="preserve">Liverpool</t>
  </si>
  <si>
    <t xml:space="preserve">liverpool.com.mx</t>
  </si>
  <si>
    <t xml:space="preserve">HTTP 403 · bloqueo bot (revisar en Chrome/Ghostery)</t>
  </si>
  <si>
    <t xml:space="preserve">GTM-KM2VZFW</t>
  </si>
  <si>
    <t xml:space="preserve">Retargeting a CPA/CPC (RTB House/Criteo/Smarterclick) · MMP instalado (atribución app lista)</t>
  </si>
  <si>
    <t xml:space="preserve">Suburbia</t>
  </si>
  <si>
    <t xml:space="preserve">suburbia.com.mx</t>
  </si>
  <si>
    <t xml:space="preserve">GTM-KM2VZFW, GTM-P99XGLW</t>
  </si>
  <si>
    <t xml:space="preserve">El Palacio de Hierro</t>
  </si>
  <si>
    <t xml:space="preserve">elpalaciodehierro.com</t>
  </si>
  <si>
    <t xml:space="preserve">GTM-S9GP</t>
  </si>
  <si>
    <t xml:space="preserve">Retargeting a CPA/CPC (RTB House/Criteo/Smarterclick) · Dynamic remarketing Google activo · Programa de afiliados activo (ya paga CPA) · MMP instalado (atribución app lista)</t>
  </si>
  <si>
    <t xml:space="preserve">Sears México (Grupo Carso)</t>
  </si>
  <si>
    <t xml:space="preserve">sears.com.mx</t>
  </si>
  <si>
    <t xml:space="preserve">Sanborns</t>
  </si>
  <si>
    <t xml:space="preserve">sanborns.com.mx</t>
  </si>
  <si>
    <t xml:space="preserve">Coppel</t>
  </si>
  <si>
    <t xml:space="preserve">coppel.com</t>
  </si>
  <si>
    <t xml:space="preserve">Red (navegador)</t>
  </si>
  <si>
    <t xml:space="preserve">GTM-MLFDXSFC, GTM-MQC5RG5C, GTM-NL3WNDZV, GTM-NVKCT9W5, GTM-NXQMNBJG, GTM-P3VZMZXT, GTM-T58P8MMW, GTM-TD6ZZHT4, GTM-WTBN8XVR</t>
  </si>
  <si>
    <t xml:space="preserve">Elektra</t>
  </si>
  <si>
    <t xml:space="preserve">elektra.mx</t>
  </si>
  <si>
    <t xml:space="preserve">GTM-P7K53B9</t>
  </si>
  <si>
    <t xml:space="preserve">Dynamic remarketing Google activo · Programa de afiliados activo (ya paga CPA) · MMP instalado (atribución app lista)</t>
  </si>
  <si>
    <t xml:space="preserve">Walmart de México</t>
  </si>
  <si>
    <t xml:space="preserve">walmart.com.mx</t>
  </si>
  <si>
    <t xml:space="preserve">Bodega Aurrera</t>
  </si>
  <si>
    <t xml:space="preserve">bodegaaurrera.com.mx</t>
  </si>
  <si>
    <t xml:space="preserve">HTTP 200 · bloqueo bot (revisar en Chrome/Ghostery)</t>
  </si>
  <si>
    <t xml:space="preserve">Sam's Club México</t>
  </si>
  <si>
    <t xml:space="preserve">sams.com.mx</t>
  </si>
  <si>
    <t xml:space="preserve">Costco México</t>
  </si>
  <si>
    <t xml:space="preserve">costco.com.mx</t>
  </si>
  <si>
    <t xml:space="preserve">GTM-PVSS4SK</t>
  </si>
  <si>
    <t xml:space="preserve">Soriana</t>
  </si>
  <si>
    <t xml:space="preserve">soriana.com</t>
  </si>
  <si>
    <t xml:space="preserve">Chedraui</t>
  </si>
  <si>
    <t xml:space="preserve">chedraui.com.mx</t>
  </si>
  <si>
    <t xml:space="preserve">La Comer</t>
  </si>
  <si>
    <t xml:space="preserve">lacomer.com.mx</t>
  </si>
  <si>
    <t xml:space="preserve">HEB México</t>
  </si>
  <si>
    <t xml:space="preserve">heb.com.mx</t>
  </si>
  <si>
    <t xml:space="preserve">GTM-MDLCJGHZ, GTM-P4HR233H</t>
  </si>
  <si>
    <t xml:space="preserve">MMP instalado (atribución app lista)</t>
  </si>
  <si>
    <t xml:space="preserve">Rappi</t>
  </si>
  <si>
    <t xml:space="preserve">rappi.com.mx</t>
  </si>
  <si>
    <t xml:space="preserve">GTM-WJZNQMX</t>
  </si>
  <si>
    <t xml:space="preserve">Uber Eats México</t>
  </si>
  <si>
    <t xml:space="preserve">ubereats.com</t>
  </si>
  <si>
    <t xml:space="preserve">DiDi Food México</t>
  </si>
  <si>
    <t xml:space="preserve">didiglobal.com</t>
  </si>
  <si>
    <t xml:space="preserve">Jüsto</t>
  </si>
  <si>
    <t xml:space="preserve">justo.mx</t>
  </si>
  <si>
    <t xml:space="preserve">GTM-M2CF26XG</t>
  </si>
  <si>
    <t xml:space="preserve">Stack de data compatible con LSIX</t>
  </si>
  <si>
    <t xml:space="preserve">Alsea (Domino's / Starbucks / BK / Vips)</t>
  </si>
  <si>
    <t xml:space="preserve">alsea.com.mx</t>
  </si>
  <si>
    <t xml:space="preserve">GTM-W3FHXCVX</t>
  </si>
  <si>
    <t xml:space="preserve">McDonald's México (Arcos Dorados)</t>
  </si>
  <si>
    <t xml:space="preserve">mcdonalds.com.mx</t>
  </si>
  <si>
    <t xml:space="preserve">GTM-M3L33JX</t>
  </si>
  <si>
    <t xml:space="preserve">KFC México (Yum!)</t>
  </si>
  <si>
    <t xml:space="preserve">kfc.com.mx</t>
  </si>
  <si>
    <t xml:space="preserve">Little Caesars México</t>
  </si>
  <si>
    <t xml:space="preserve">littlecaesars.com.mx</t>
  </si>
  <si>
    <t xml:space="preserve">GTM-TM9J6BJ</t>
  </si>
  <si>
    <t xml:space="preserve">Farmacias del Ahorro</t>
  </si>
  <si>
    <t xml:space="preserve">fahorro.com</t>
  </si>
  <si>
    <t xml:space="preserve">GTM-P6QK8GFJ</t>
  </si>
  <si>
    <t xml:space="preserve">Retargeting a CPA/CPC (RTB House/Criteo/Smarterclick)</t>
  </si>
  <si>
    <t xml:space="preserve">Farmacias Guadalajara</t>
  </si>
  <si>
    <t xml:space="preserve">farmaciasguadalajara.com</t>
  </si>
  <si>
    <t xml:space="preserve">Farmacias Benavides</t>
  </si>
  <si>
    <t xml:space="preserve">benavides.com.mx</t>
  </si>
  <si>
    <t xml:space="preserve">GTM-NWNRF9Q</t>
  </si>
  <si>
    <t xml:space="preserve">Dynamic remarketing Google activo · MMP instalado (atribución app lista)</t>
  </si>
  <si>
    <t xml:space="preserve">Farmacias San Pablo</t>
  </si>
  <si>
    <t xml:space="preserve">farmaciasanpablo.com.mx</t>
  </si>
  <si>
    <t xml:space="preserve">Farmacias Similares</t>
  </si>
  <si>
    <t xml:space="preserve">farmaciasdesimilares.com</t>
  </si>
  <si>
    <t xml:space="preserve">Sephora México</t>
  </si>
  <si>
    <t xml:space="preserve">sephora.com.mx</t>
  </si>
  <si>
    <t xml:space="preserve">Ghostery manual</t>
  </si>
  <si>
    <t xml:space="preserve">Retargeting a CPA/CPC (RTB House/Criteo/Smarterclick) · Dynamic remarketing Google activo</t>
  </si>
  <si>
    <t xml:space="preserve">Grisi</t>
  </si>
  <si>
    <t xml:space="preserve">grisi.com</t>
  </si>
  <si>
    <t xml:space="preserve">GTM-NLMWRGQP</t>
  </si>
  <si>
    <t xml:space="preserve">Natura &amp;Co (Natura / Avon)</t>
  </si>
  <si>
    <t xml:space="preserve">natura.com.mx</t>
  </si>
  <si>
    <t xml:space="preserve">Mary Kay México</t>
  </si>
  <si>
    <t xml:space="preserve">marykay.com.mx</t>
  </si>
  <si>
    <t xml:space="preserve">GTM-TBN3TQR6</t>
  </si>
  <si>
    <t xml:space="preserve">Jafra</t>
  </si>
  <si>
    <t xml:space="preserve">jafra.com.mx</t>
  </si>
  <si>
    <t xml:space="preserve">Sally Beauty México</t>
  </si>
  <si>
    <t xml:space="preserve">sallybeauty.com.mx</t>
  </si>
  <si>
    <t xml:space="preserve">GTM-4A0B20B, GTM-PP552LP6</t>
  </si>
  <si>
    <t xml:space="preserve">Dynamic remarketing Google activo</t>
  </si>
  <si>
    <t xml:space="preserve">Zara / Inditex México</t>
  </si>
  <si>
    <t xml:space="preserve">zara.com/mx</t>
  </si>
  <si>
    <t xml:space="preserve">H&amp;M México</t>
  </si>
  <si>
    <t xml:space="preserve">hm.com/mx</t>
  </si>
  <si>
    <t xml:space="preserve">C&amp;A México</t>
  </si>
  <si>
    <t xml:space="preserve">cyamoda.com</t>
  </si>
  <si>
    <t xml:space="preserve">GTM-T58RBTG</t>
  </si>
  <si>
    <t xml:space="preserve">Dynamic remarketing Google activo · Stack de data compatible con LSIX</t>
  </si>
  <si>
    <t xml:space="preserve">Shasa</t>
  </si>
  <si>
    <t xml:space="preserve">shasa.com</t>
  </si>
  <si>
    <t xml:space="preserve">GTM-N5FBJ8H</t>
  </si>
  <si>
    <t xml:space="preserve">Andrea</t>
  </si>
  <si>
    <t xml:space="preserve">andrea.com</t>
  </si>
  <si>
    <t xml:space="preserve">GTM-PM44RKR</t>
  </si>
  <si>
    <t xml:space="preserve">Retargeting a CPA/CPC (RTB House/Criteo/Smarterclick) · Dynamic remarketing Google activo · Programa de afiliados activo (ya paga CPA)</t>
  </si>
  <si>
    <t xml:space="preserve">Price Shoes</t>
  </si>
  <si>
    <t xml:space="preserve">priceshoes.com</t>
  </si>
  <si>
    <t xml:space="preserve">GTM-PMSWCC6</t>
  </si>
  <si>
    <t xml:space="preserve">Flexi</t>
  </si>
  <si>
    <t xml:space="preserve">flexi.com.mx</t>
  </si>
  <si>
    <t xml:space="preserve">Cuadra</t>
  </si>
  <si>
    <t xml:space="preserve">cuadra.com.mx</t>
  </si>
  <si>
    <t xml:space="preserve">ERROR: TimeoutError</t>
  </si>
  <si>
    <t xml:space="preserve">GTM-MD865DGX</t>
  </si>
  <si>
    <t xml:space="preserve">Nike México</t>
  </si>
  <si>
    <t xml:space="preserve">nike.com/mx</t>
  </si>
  <si>
    <t xml:space="preserve">Adidas México</t>
  </si>
  <si>
    <t xml:space="preserve">adidas.mx</t>
  </si>
  <si>
    <t xml:space="preserve">Innovasport</t>
  </si>
  <si>
    <t xml:space="preserve">innovasport.com</t>
  </si>
  <si>
    <t xml:space="preserve">GTM-MRFDTGD</t>
  </si>
  <si>
    <t xml:space="preserve">Retargeting a CPA/CPC (RTB House/Criteo/Smarterclick) · Dynamic remarketing Google activo · Programa de afiliados activo (ya paga CPA) · MMP instalado (atribución app lista) · Native/performance</t>
  </si>
  <si>
    <t xml:space="preserve">Martí</t>
  </si>
  <si>
    <t xml:space="preserve">marti.mx</t>
  </si>
  <si>
    <t xml:space="preserve">HTTP 503 · bloqueo bot (revisar en Chrome/Ghostery)</t>
  </si>
  <si>
    <t xml:space="preserve">GTM-K46QC2Z</t>
  </si>
  <si>
    <t xml:space="preserve">Retargeting a CPA/CPC (RTB House/Criteo/Smarterclick) · Native/performance</t>
  </si>
  <si>
    <t xml:space="preserve">Dportenis</t>
  </si>
  <si>
    <t xml:space="preserve">dportenis.mx</t>
  </si>
  <si>
    <t xml:space="preserve">GTM-54PXR9B</t>
  </si>
  <si>
    <t xml:space="preserve">Calzzapato</t>
  </si>
  <si>
    <t xml:space="preserve">calzzapato.com</t>
  </si>
  <si>
    <t xml:space="preserve">GTM-5KJJF54</t>
  </si>
  <si>
    <t xml:space="preserve">Decathlon México</t>
  </si>
  <si>
    <t xml:space="preserve">decathlon.com.mx</t>
  </si>
  <si>
    <t xml:space="preserve">Apple México</t>
  </si>
  <si>
    <t xml:space="preserve">apple.com/mx</t>
  </si>
  <si>
    <t xml:space="preserve">iShop (Grupo Mixup)</t>
  </si>
  <si>
    <t xml:space="preserve">ishopmixup.com</t>
  </si>
  <si>
    <t xml:space="preserve">Samsung México</t>
  </si>
  <si>
    <t xml:space="preserve">samsung.com/mx</t>
  </si>
  <si>
    <t xml:space="preserve">Retargeting a CPA/CPC (RTB House/Criteo/Smarterclick) · Dynamic remarketing Google activo · Programa de afiliados activo (ya paga CPA) · Native/performance</t>
  </si>
  <si>
    <t xml:space="preserve">Xiaomi México</t>
  </si>
  <si>
    <t xml:space="preserve">mi.com/mx</t>
  </si>
  <si>
    <t xml:space="preserve">GTM-5KRKGGMR, GTM-N7BDPG6</t>
  </si>
  <si>
    <t xml:space="preserve">Programa de afiliados activo (ya paga CPA) · Stack de data compatible con LSIX</t>
  </si>
  <si>
    <t xml:space="preserve">Steren</t>
  </si>
  <si>
    <t xml:space="preserve">steren.com.mx</t>
  </si>
  <si>
    <t xml:space="preserve">GTM-TT936SK</t>
  </si>
  <si>
    <t xml:space="preserve">Cyberpuerta</t>
  </si>
  <si>
    <t xml:space="preserve">cyberpuerta.mx</t>
  </si>
  <si>
    <t xml:space="preserve">RadioShack México</t>
  </si>
  <si>
    <t xml:space="preserve">radioshack.com.mx</t>
  </si>
  <si>
    <t xml:space="preserve">GTM-5FBJV7</t>
  </si>
  <si>
    <t xml:space="preserve">Retargeting a CPA/CPC (RTB House/Criteo/Smarterclick) · Programa de afiliados activo (ya paga CPA)</t>
  </si>
  <si>
    <t xml:space="preserve">Home Depot México</t>
  </si>
  <si>
    <t xml:space="preserve">homedepot.com.mx</t>
  </si>
  <si>
    <t xml:space="preserve">GTM-TSRHVNK</t>
  </si>
  <si>
    <t xml:space="preserve">Sodimac México</t>
  </si>
  <si>
    <t xml:space="preserve">sodimac.com.mx</t>
  </si>
  <si>
    <t xml:space="preserve">GTM-MCX5LCV</t>
  </si>
  <si>
    <t xml:space="preserve">Retargeting a CPA/CPC (RTB House/Criteo/Smarterclick) · Programa de afiliados activo (ya paga CPA) · MMP instalado (atribución app lista) · Stack de data compatible con LSIX</t>
  </si>
  <si>
    <t xml:space="preserve">IKEA México</t>
  </si>
  <si>
    <t xml:space="preserve">ikea.com/mx</t>
  </si>
  <si>
    <t xml:space="preserve">Gaia Design</t>
  </si>
  <si>
    <t xml:space="preserve">gaiadesign.com.mx</t>
  </si>
  <si>
    <t xml:space="preserve">Office Depot México</t>
  </si>
  <si>
    <t xml:space="preserve">officedepot.com.mx</t>
  </si>
  <si>
    <t xml:space="preserve">GTM-56PS9J8</t>
  </si>
  <si>
    <t xml:space="preserve">Waldo's</t>
  </si>
  <si>
    <t xml:space="preserve">waldos.com.mx</t>
  </si>
  <si>
    <t xml:space="preserve">Miniso México</t>
  </si>
  <si>
    <t xml:space="preserve">miniso.com.mx</t>
  </si>
  <si>
    <t xml:space="preserve">Tiendas Del Sol / Woolworth</t>
  </si>
  <si>
    <t xml:space="preserve">delsol.com.mx</t>
  </si>
  <si>
    <t xml:space="preserve">Volaris</t>
  </si>
  <si>
    <t xml:space="preserve">volaris.com</t>
  </si>
  <si>
    <t xml:space="preserve">GTM-S4SJ</t>
  </si>
  <si>
    <t xml:space="preserve">Viva</t>
  </si>
  <si>
    <t xml:space="preserve">vivaaerobus.com</t>
  </si>
  <si>
    <t xml:space="preserve">Aeroméxico</t>
  </si>
  <si>
    <t xml:space="preserve">aeromexico.com</t>
  </si>
  <si>
    <t xml:space="preserve">Despegar México</t>
  </si>
  <si>
    <t xml:space="preserve">despegar.com.mx</t>
  </si>
  <si>
    <t xml:space="preserve">PriceTravel</t>
  </si>
  <si>
    <t xml:space="preserve">pricetravel.com</t>
  </si>
  <si>
    <t xml:space="preserve">GTM-K79L3DNV</t>
  </si>
  <si>
    <t xml:space="preserve">Best Day</t>
  </si>
  <si>
    <t xml:space="preserve">bestday.com.mx</t>
  </si>
  <si>
    <t xml:space="preserve">Grupo Posadas (Fiesta Americana)</t>
  </si>
  <si>
    <t xml:space="preserve">posadas.com</t>
  </si>
  <si>
    <t xml:space="preserve">GTM-K9BF787, GTM-KDXDKJZ7, GTM-KVQFZZZH, GTM-M44H2TWH, GTM-MNHSB9X6, GTM-P4G3NR6K, GTM-WLNRQ7XN</t>
  </si>
  <si>
    <t xml:space="preserve">Hoteles City Express</t>
  </si>
  <si>
    <t xml:space="preserve">cityexpress.com</t>
  </si>
  <si>
    <t xml:space="preserve">ADO</t>
  </si>
  <si>
    <t xml:space="preserve">ado.com.mx</t>
  </si>
  <si>
    <t xml:space="preserve">GTM-PCS8N3B</t>
  </si>
  <si>
    <t xml:space="preserve">Cinépolis</t>
  </si>
  <si>
    <t xml:space="preserve">cinepolis.com</t>
  </si>
  <si>
    <t xml:space="preserve">Cinemex</t>
  </si>
  <si>
    <t xml:space="preserve">cinemex.com</t>
  </si>
  <si>
    <t xml:space="preserve">GTM-T9NZ56T</t>
  </si>
  <si>
    <t xml:space="preserve">Dynamic remarketing Google activo · Programa de afiliados activo (ya paga CPA)</t>
  </si>
  <si>
    <t xml:space="preserve">Ticketmaster México (OCESA)</t>
  </si>
  <si>
    <t xml:space="preserve">ticketmaster.com.mx</t>
  </si>
  <si>
    <t xml:space="preserve">GTM-5MZG6PB6, GTM-5TNTJSSJ, GTM-K4QMLG, GTM-M6BK9TM5, GTM-N93JW5V, GTM-NMC3FK4, GTM-NMSNF2L, GTM-PLDTF3KT, GTM-PSVWZZC, GTM-TB7ZTT2, GTM-TT3LTJWW, GTM-WW62QPR</t>
  </si>
  <si>
    <t xml:space="preserve">Boletia</t>
  </si>
  <si>
    <t xml:space="preserve">boletia.com</t>
  </si>
  <si>
    <t xml:space="preserve">AutoZone México</t>
  </si>
  <si>
    <t xml:space="preserve">autozone.com.mx</t>
  </si>
  <si>
    <t xml:space="preserve">Kavak</t>
  </si>
  <si>
    <t xml:space="preserve">kavak.com/mx</t>
  </si>
  <si>
    <t xml:space="preserve">Italika</t>
  </si>
  <si>
    <t xml:space="preserve">italika.mx</t>
  </si>
  <si>
    <t xml:space="preserve">GTM-NBVGGJRV, GTM-NH38TGW</t>
  </si>
  <si>
    <t xml:space="preserve">Petco México</t>
  </si>
  <si>
    <t xml:space="preserve">petco.com.mx</t>
  </si>
  <si>
    <t xml:space="preserve">GTM-NRNT24</t>
  </si>
  <si>
    <t xml:space="preserve">+Kota</t>
  </si>
  <si>
    <t xml:space="preserve">maskota.com.mx</t>
  </si>
  <si>
    <t xml:space="preserve">Librerías Gandhi</t>
  </si>
  <si>
    <t xml:space="preserve">gandhi.com.mx</t>
  </si>
  <si>
    <t xml:space="preserve">GTM-TM6PXGTV</t>
  </si>
  <si>
    <t xml:space="preserve">Porrúa</t>
  </si>
  <si>
    <t xml:space="preserve">porrua.mx</t>
  </si>
  <si>
    <t xml:space="preserve">Juguetrón</t>
  </si>
  <si>
    <t xml:space="preserve">juguetron.mx</t>
  </si>
  <si>
    <t xml:space="preserve">GTM-57SQR5N3</t>
  </si>
  <si>
    <t xml:space="preserve">Julio Cepeda Jugueterías</t>
  </si>
  <si>
    <t xml:space="preserve">juliocepeda.com</t>
  </si>
  <si>
    <t xml:space="preserve">GTM-5X5Q6F</t>
  </si>
  <si>
    <t xml:space="preserve">Ópticas Devlyn</t>
  </si>
  <si>
    <t xml:space="preserve">devlyn.com.mx</t>
  </si>
  <si>
    <t xml:space="preserve">GTM-KV7VF5N</t>
  </si>
  <si>
    <t xml:space="preserve">Enviaflores</t>
  </si>
  <si>
    <t xml:space="preserve">enviaflores.com</t>
  </si>
  <si>
    <t xml:space="preserve">GTM-NZPDMCDQ</t>
  </si>
  <si>
    <t xml:space="preserve">Mercado Pago</t>
  </si>
  <si>
    <t xml:space="preserve">mercadopago.com.mx</t>
  </si>
  <si>
    <t xml:space="preserve">GTM-NRDZZ97</t>
  </si>
  <si>
    <t xml:space="preserve">Retargeting a CPA/CPC (RTB House/Criteo/Smarterclick) · Programa de afiliados activo (ya paga CPA) · MMP instalado (atribución app lista) · Native/performance</t>
  </si>
  <si>
    <t xml:space="preserve">Kueski Pay</t>
  </si>
  <si>
    <t xml:space="preserve">kueskipay.com</t>
  </si>
  <si>
    <t xml:space="preserve">GTM-TMLW9N2, GTM-W2DRGQD</t>
  </si>
  <si>
    <t xml:space="preserve">Aplazo</t>
  </si>
  <si>
    <t xml:space="preserve">aplazo.mx</t>
  </si>
  <si>
    <t xml:space="preserve">GTM-TXFSFDT</t>
  </si>
  <si>
    <t xml:space="preserve">Telcel (Tienda en línea / Mi Telcel)</t>
  </si>
  <si>
    <t xml:space="preserve">telcel.com</t>
  </si>
  <si>
    <t xml:space="preserve">GTM-M8HM3D</t>
  </si>
  <si>
    <t xml:space="preserve">AT&amp;T México</t>
  </si>
  <si>
    <t xml:space="preserve">att.com.mx</t>
  </si>
  <si>
    <t xml:space="preserve">GTM-584W669, GTM-PLX3S6J</t>
  </si>
  <si>
    <t xml:space="preserve">Retargeting a CPA/CPC (RTB House/Criteo/Smarterclick) · Dynamic remarketing Google activo · Stack de data compatible con LSIX</t>
  </si>
  <si>
    <t xml:space="preserve">Spin by OXXO (Femsa)</t>
  </si>
  <si>
    <t xml:space="preserve">spinbyoxxo.com.mx</t>
  </si>
  <si>
    <t xml:space="preserve">Categoría empresa</t>
  </si>
  <si>
    <t xml:space="preserve">Categoría vendor</t>
  </si>
  <si>
    <t xml:space="preserve">Método detección</t>
  </si>
  <si>
    <t xml:space="preserve">Red+HTML/GTM</t>
  </si>
  <si>
    <t xml:space="preserve">Red</t>
  </si>
  <si>
    <t xml:space="preserve">Ghostery</t>
  </si>
  <si>
    <t xml:space="preserve">Sitios que bloquearon el scan desde datacenter — revisar desde tu Chrome (IP residencial) con Ghostery o el snippet de consola</t>
  </si>
  <si>
    <t xml:space="preserve">Estatus</t>
  </si>
  <si>
    <t xml:space="preserve">Hallazgo Ghostery (llenar)</t>
  </si>
  <si>
    <t xml:space="preserve">Fecha revisión</t>
  </si>
  <si>
    <t xml:space="preserve">PROTOCOLO (3 min por sitio)</t>
  </si>
  <si>
    <t xml:space="preserve">1. Abre el sitio en Chrome con Ghostery activo en modo 'Nunca bloquear' (solo observar), navega home → categoría → producto → carrito (sin comprar).</t>
  </si>
  <si>
    <t xml:space="preserve">2. Abre el panel de Ghostery → pestaña 'Trackers detectados' → agrupa por categoría Advertising. Anota: RTB House, Criteo, Taboola, Outbrain, Teads, Seedtag, Adform, Xandr, TTD, AppsFlyer/Adjust/Branch, Awin/Impact/CJ/Rakuten/Admitad/Soicos.</t>
  </si>
  <si>
    <t xml:space="preserve">3. Alternativa sin Ghostery — pega en DevTools &gt; Console (F12) el snippet de abajo: lista todos los hosts de terceros cargados en la página actual.</t>
  </si>
  <si>
    <t xml:space="preserve">4. Repite el snippet en la página de producto y en carrito: ahí disparan los pixeles de retargeting dinámico (RTB House/Criteo) que la home no siempre carga.</t>
  </si>
  <si>
    <t xml:space="preserve">5. Pega los hallazgos en la columna 'Hallazgo Ghostery' de esta hoja y marca la fecha.</t>
  </si>
  <si>
    <t xml:space="preserve">SNIPPET DEVTOOLS (copia y pega en Console):</t>
  </si>
  <si>
    <t xml:space="preserve">(()=&gt;{const h=new Set();performance.getEntriesByType('resource').forEach(e=&gt;{try{h.add(new URL(e.name).hostname)}catch(_){}});const first=location.hostname.split('.').slice(-2).join('.');const out=[...h].filter(x=&gt;!x.endsWith(first)).sort();copy(out.join('\n'));console.log(out.length+' hosts de terceros copiados al portapapeles:\n'+out.join('\n'));})();</t>
  </si>
  <si>
    <t xml:space="preserve">PROMPT PARA CLAUDE IN CHROME (ejecuta la lista bloqueada de arriba con tu sesión):</t>
  </si>
  <si>
    <t xml:space="preserve">Para cada dominio de la lista que te doy: abre la home, espera 8 segundos, haz scroll al final, entra a una página de producto cualquiera y agrégalo al carrito (no pagues). En cada una de las 3 páginas ejecuta en consola el snippet que te pego y guarda la salida. Al final entrégame una tabla: Dominio | Pixeles de paid media (Meta, Google Ads, TikTok, Pinterest, Snap, Bing) | Retargeting/CPA (RTB House, Criteo) | Native (Taboola, Outbrain) | Afiliados (Awin, Impact, CJ, Rakuten, Admitad, Soicos) | MMP (AppsFlyer, Adjust, Branch, Singular) | DMP/Identity (Retargetly, Lotame, LiveRamp, ID5) | Otros relevantes. No inventes: si un host no aparece en la salida de consola, no lo listes. Lista de dominios: [pegar columna C de esta hoja].</t>
  </si>
  <si>
    <t xml:space="preserve">Benchmarks de CPA / CPI por categoría — fuentes públicas de terceros (NO son datos de LSIX)</t>
  </si>
  <si>
    <t xml:space="preserve">Uso: referencia para conversación de unit economics. El CPA real de cada anunciante sale de la sesión de unit economics (regla del playbook: nunca comprometer CPA sin ese dato). Cifras en USD.</t>
  </si>
  <si>
    <t xml:space="preserve">SUPUESTO (editable)</t>
  </si>
  <si>
    <t xml:space="preserve">CPM Meta México (USD)</t>
  </si>
  <si>
    <t xml:space="preserve">Fuelads, Benchmarks LatAm Q2 2026 — https://fuelads.tech/benchmarks-latam-2026</t>
  </si>
  <si>
    <t xml:space="preserve">CPM Meta EE.UU. (USD)</t>
  </si>
  <si>
    <t xml:space="preserve">Idem</t>
  </si>
  <si>
    <t xml:space="preserve">Factor de ajuste MX/US</t>
  </si>
  <si>
    <t xml:space="preserve">Nota: el factor asume que el CPA escala con el CPM a igual tasa de conversión. Es una aproximación de Fuelads replicada aquí, no un benchmark medido en México. Úsalo como techo de conversación, no como precio.</t>
  </si>
  <si>
    <t xml:space="preserve">Categoría (Top100)</t>
  </si>
  <si>
    <t xml:space="preserve">Benchmark web más cercano</t>
  </si>
  <si>
    <t xml:space="preserve">CPA Meta mediana US (USD)</t>
  </si>
  <si>
    <t xml:space="preserve">CPA MX estimado (USD) = US × factor</t>
  </si>
  <si>
    <t xml:space="preserve">CPA Google Ads mediana US (USD)</t>
  </si>
  <si>
    <t xml:space="preserve">CPI app LatAm (USD, rango)</t>
  </si>
  <si>
    <t xml:space="preserve">Tipo de conversión CPA sugerida para LSIX</t>
  </si>
  <si>
    <t xml:space="preserve">Fuentes</t>
  </si>
  <si>
    <t xml:space="preserve">Confianza</t>
  </si>
  <si>
    <t xml:space="preserve">E-commerce general</t>
  </si>
  <si>
    <t xml:space="preserve">0.50–2.00 (shopping LatAm; Statista vía BoA: 1.42)</t>
  </si>
  <si>
    <t xml:space="preserve">Venta en app (% revenue o CPA fijo)</t>
  </si>
  <si>
    <t xml:space="preserve"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</si>
  <si>
    <t xml:space="preserve">Media</t>
  </si>
  <si>
    <t xml:space="preserve">E-commerce general / Apparel</t>
  </si>
  <si>
    <t xml:space="preserve">0.50–2.00</t>
  </si>
  <si>
    <t xml:space="preserve">Venta en app; 1ª compra vs recurrente</t>
  </si>
  <si>
    <t xml:space="preserve">E-commerce general (sin benchmark grocery público)</t>
  </si>
  <si>
    <t xml:space="preserve">Pedido en app (ticket bajo → CPA bajo, volumen)</t>
  </si>
  <si>
    <t xml:space="preserve">Baja</t>
  </si>
  <si>
    <t xml:space="preserve">Food &amp; Beverage (CPC más bajo 0.52; CPA sin dato público categoría)</t>
  </si>
  <si>
    <t xml:space="preserve">[PENDIENTE]</t>
  </si>
  <si>
    <t xml:space="preserve">Primer pedido en app / pedido reactivado</t>
  </si>
  <si>
    <t xml:space="preserve">Ryze AI, Meta Ads Cost Benchmarks by Industry 2026 (abr-2026) — https://www.get-ryze.ai/blog/cost-per-acquisition-benchmarks-2026 (CPC); Business of Apps, App User Acquisition Costs 2025 (citando Sensor Tower, Adjust, Liftoff, AdAction) — https://www.businessofapps.com/marketplace/user-acquisition/research/user-acquisition-costs/</t>
  </si>
  <si>
    <t xml:space="preserve">Health / e-commerce general</t>
  </si>
  <si>
    <t xml:space="preserve">Venta en app; recurrencia (crónicos)</t>
  </si>
  <si>
    <t xml:space="preserve">Beauty &amp; Cosmetics (CPL más bajo de la región según Fuelads)</t>
  </si>
  <si>
    <t xml:space="preserve">Venta en app / 1ª compra</t>
  </si>
  <si>
    <t xml:space="preserve">Ryze AI, Meta Ads Cost Benchmarks by Industry 2026 (abr-2026) — https://www.get-ryze.ai/blog/cost-per-acquisition-benchmarks-2026; Fuelads Q2 2026</t>
  </si>
  <si>
    <t xml:space="preserve">Apparel &amp; Fashion (CPC más bajo: 0.45)</t>
  </si>
  <si>
    <t xml:space="preserve">Venta en app; devolución como condición de validez</t>
  </si>
  <si>
    <t xml:space="preserve">Apparel / Sporting goods</t>
  </si>
  <si>
    <t xml:space="preserve">Venta en app; app install + 1ª compra (Innovasport)</t>
  </si>
  <si>
    <t xml:space="preserve">Ryze AI, Meta Ads Cost Benchmarks by Industry 2026 (abr-2026) — https://www.get-ryze.ai/blog/cost-per-acquisition-benchmarks-2026</t>
  </si>
  <si>
    <t xml:space="preserve">Electronics (categoría más cara en Meta)</t>
  </si>
  <si>
    <t xml:space="preserve">Venta en app (ticket alto → % revenue)</t>
  </si>
  <si>
    <t xml:space="preserve">Triple Whale, Facebook Ad Benchmarks (ago-2025→jul-2026, DTC/e-commerce) — https://www.triplewhale.com/blog/facebook-ads-benchmarks</t>
  </si>
  <si>
    <t xml:space="preserve">Home &amp; Garden / e-commerce general</t>
  </si>
  <si>
    <t xml:space="preserve">Venta en app; ticket alto → % revenue</t>
  </si>
  <si>
    <t xml:space="preserve">Travel (sin CPA público por categoría; Triple Whale: Travel Accessories entre las más caras)</t>
  </si>
  <si>
    <t xml:space="preserve">Reserva/boleto emitido en app</t>
  </si>
  <si>
    <t xml:space="preserve">Triple Whale, Facebook Ad Benchmarks (ago-2025→jul-2026, DTC/e-commerce) — https://www.triplewhale.com/blog/facebook-ads-benchmarks; Business of Apps, App User Acquisition Costs 2025 (citando Sensor Tower, Adjust, Liftoff, AdAction) — https://www.businessofapps.com/marketplace/user-acquisition/research/user-acquisition-costs/</t>
  </si>
  <si>
    <t xml:space="preserve">Entertainment (sin dato público)</t>
  </si>
  <si>
    <t xml:space="preserve">Boleto comprado en app</t>
  </si>
  <si>
    <t xml:space="preserve">Business of Apps, App User Acquisition Costs 2025 (citando Sensor Tower, Adjust, Liftoff, AdAction) — https://www.businessofapps.com/marketplace/user-acquisition/research/user-acquisition-costs/</t>
  </si>
  <si>
    <t xml:space="preserve">Automotive (lead-based: CPL, no CPA)</t>
  </si>
  <si>
    <t xml:space="preserve">n/a</t>
  </si>
  <si>
    <t xml:space="preserve">Lead calificado (CPL) / cita</t>
  </si>
  <si>
    <t xml:space="preserve">Books &amp; Music 30.69 / Toys &amp; Collectibles / Pets</t>
  </si>
  <si>
    <t xml:space="preserve">Venta en app; suscripción (mascotas)</t>
  </si>
  <si>
    <t xml:space="preserve">Finance (CPI más alto: 2.50–6.00 global; BoA 8.23)</t>
  </si>
  <si>
    <t xml:space="preserve">2.50–6.00 (global, Adjust/Juniper 2024); LatAm menor — sin dato público MX</t>
  </si>
  <si>
    <t xml:space="preserve">Alta/KYC completada, 1ª transacción, crédito desembolsado (CPA por evento, no por install)</t>
  </si>
  <si>
    <t xml:space="preserve">Business of Apps, App User Acquisition Costs 2025 (citando Sensor Tower, Adjust, Liftoff, AdAction) — https://www.businessofapps.com/marketplace/user-acquisition/research/user-acquisition-costs/; Insert Affiliate, Mobile App UA Cost Benchmarks (may-2026) — https://insertaffiliate.com/blog/mobile-app-user-acquisition-cost-benchmarks/</t>
  </si>
  <si>
    <t xml:space="preserve">Telecom (sin CPA público)</t>
  </si>
  <si>
    <t xml:space="preserve">Alta de línea / portabilidad / recarga en app</t>
  </si>
  <si>
    <t xml:space="preserve">Referencias transversales: CPA mediana Meta todas las industrias US 2026 = $38.19 (Ryze); Triple Whale ago-25→jul-26 = $38.99, ROAS mediana 1.88, CVR 1.53%; CPA Google Ads mediana US 2026 = $23.74 (Ryze); Q4 cuesta 30–40% más que Q1 (Fuelads).</t>
  </si>
  <si>
    <t xml:space="preserve">Lo que NO existe públicamente: CPA por anunciante en México. Ese dato solo sale de (a) la sesión de unit economics, (b) el margen/LTV que comparta el cliente, (c) la pregunta de discovery '¿ya compran a CPA con afiliados/redes y a qué precio?' (playbook slide 6).</t>
  </si>
  <si>
    <t xml:space="preserve">Los sitios con Awin/Impact/CJ/Admitad/Soicos en la Matriz_Pixeles ya pagan CPA a afiliados: en discovery pide el payout de su programa — es el benchmark real del anunciante y el techo de tu negociación.</t>
  </si>
  <si>
    <t xml:space="preserve">Los sitios con RTB House o Criteo ya compran retargeting a CPC/CPA con garantía: el pitch de LSIX compite directamente en ese presupuesto, no en el fee del holding.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</si>
</sst>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\$#,##0.00;;\—"/>
    <numFmt numFmtId="168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color rgb="FF2F6BFF"/>
      <name val="Arial"/>
      <family val="0"/>
      <charset val="1"/>
    </font>
    <font>
      <sz val="9"/>
      <name val="Courier New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2F6BFF"/>
        <bgColor rgb="FF0066CC"/>
      </patternFill>
    </fill>
    <fill>
      <patternFill patternType="solid">
        <fgColor rgb="FFF8D7DA"/>
        <bgColor rgb="FFDDDDDD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6B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2F6B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2</v>
      </c>
      <c r="B4" s="0" t="n">
        <v>100</v>
      </c>
    </row>
    <row r="5" customFormat="false" ht="15" hidden="false" customHeight="false" outlineLevel="0" collapsed="false">
      <c r="A5" s="0" t="s">
        <v>3</v>
      </c>
      <c r="B5" s="0" t="n">
        <f aca="false">B4-B6</f>
        <v>76</v>
      </c>
    </row>
    <row r="6" customFormat="false" ht="15" hidden="false" customHeight="false" outlineLevel="0" collapsed="false">
      <c r="A6" s="0" t="s">
        <v>4</v>
      </c>
      <c r="B6" s="0" t="n">
        <f aca="false">COUNTIF(Matriz_Pixeles!F3:F102,"BLOQUEADO*")</f>
        <v>24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/>
      <c r="F8" s="3"/>
    </row>
    <row r="9" customFormat="false" ht="15" hidden="false" customHeight="false" outlineLevel="0" collapsed="false">
      <c r="A9" s="4" t="s">
        <v>9</v>
      </c>
      <c r="B9" s="4" t="s">
        <v>10</v>
      </c>
      <c r="C9" s="4" t="n">
        <f aca="false">SUM(Matriz_Pixeles!K3:K102)</f>
        <v>57</v>
      </c>
      <c r="D9" s="5" t="n">
        <f aca="false">IF($B$5=0,0,C9/$B$5)</f>
        <v>0.75</v>
      </c>
      <c r="E9" s="4"/>
      <c r="F9" s="4"/>
    </row>
    <row r="10" customFormat="false" ht="15" hidden="false" customHeight="false" outlineLevel="0" collapsed="false">
      <c r="A10" s="4" t="s">
        <v>11</v>
      </c>
      <c r="B10" s="4" t="s">
        <v>10</v>
      </c>
      <c r="C10" s="4" t="n">
        <f aca="false">SUM(Matriz_Pixeles!L3:L102)</f>
        <v>48</v>
      </c>
      <c r="D10" s="5" t="n">
        <f aca="false">IF($B$5=0,0,C10/$B$5)</f>
        <v>0.631578947368421</v>
      </c>
      <c r="E10" s="4"/>
      <c r="F10" s="4"/>
    </row>
    <row r="11" customFormat="false" ht="15" hidden="false" customHeight="false" outlineLevel="0" collapsed="false">
      <c r="A11" s="4" t="s">
        <v>12</v>
      </c>
      <c r="B11" s="4" t="s">
        <v>10</v>
      </c>
      <c r="C11" s="4" t="n">
        <f aca="false">SUM(Matriz_Pixeles!M3:M102)</f>
        <v>42</v>
      </c>
      <c r="D11" s="5" t="n">
        <f aca="false">IF($B$5=0,0,C11/$B$5)</f>
        <v>0.552631578947369</v>
      </c>
      <c r="E11" s="4"/>
      <c r="F11" s="4"/>
    </row>
    <row r="12" customFormat="false" ht="15" hidden="false" customHeight="false" outlineLevel="0" collapsed="false">
      <c r="A12" s="4" t="s">
        <v>13</v>
      </c>
      <c r="B12" s="4" t="s">
        <v>10</v>
      </c>
      <c r="C12" s="4" t="n">
        <f aca="false">SUM(Matriz_Pixeles!N3:N102)</f>
        <v>13</v>
      </c>
      <c r="D12" s="5" t="n">
        <f aca="false">IF($B$5=0,0,C12/$B$5)</f>
        <v>0.171052631578947</v>
      </c>
      <c r="E12" s="4"/>
      <c r="F12" s="4"/>
    </row>
    <row r="13" customFormat="false" ht="15" hidden="false" customHeight="false" outlineLevel="0" collapsed="false">
      <c r="A13" s="4" t="s">
        <v>14</v>
      </c>
      <c r="B13" s="4" t="s">
        <v>10</v>
      </c>
      <c r="C13" s="4" t="n">
        <f aca="false">SUM(Matriz_Pixeles!O3:O102)</f>
        <v>1</v>
      </c>
      <c r="D13" s="5" t="n">
        <f aca="false">IF($B$5=0,0,C13/$B$5)</f>
        <v>0.0131578947368421</v>
      </c>
      <c r="E13" s="4"/>
      <c r="F13" s="4"/>
    </row>
    <row r="14" customFormat="false" ht="15" hidden="false" customHeight="false" outlineLevel="0" collapsed="false">
      <c r="A14" s="4" t="s">
        <v>15</v>
      </c>
      <c r="B14" s="4" t="s">
        <v>10</v>
      </c>
      <c r="C14" s="4" t="n">
        <f aca="false">SUM(Matriz_Pixeles!P3:P102)</f>
        <v>6</v>
      </c>
      <c r="D14" s="5" t="n">
        <f aca="false">IF($B$5=0,0,C14/$B$5)</f>
        <v>0.0789473684210526</v>
      </c>
      <c r="E14" s="4"/>
      <c r="F14" s="4"/>
    </row>
    <row r="15" customFormat="false" ht="15" hidden="false" customHeight="false" outlineLevel="0" collapsed="false">
      <c r="A15" s="4" t="s">
        <v>16</v>
      </c>
      <c r="B15" s="4" t="s">
        <v>10</v>
      </c>
      <c r="C15" s="4" t="n">
        <f aca="false">SUM(Matriz_Pixeles!Q3:Q102)</f>
        <v>11</v>
      </c>
      <c r="D15" s="5" t="n">
        <f aca="false">IF($B$5=0,0,C15/$B$5)</f>
        <v>0.144736842105263</v>
      </c>
      <c r="E15" s="4"/>
      <c r="F15" s="4"/>
    </row>
    <row r="16" customFormat="false" ht="15" hidden="false" customHeight="false" outlineLevel="0" collapsed="false">
      <c r="A16" s="4" t="s">
        <v>17</v>
      </c>
      <c r="B16" s="4" t="s">
        <v>10</v>
      </c>
      <c r="C16" s="4" t="n">
        <f aca="false">SUM(Matriz_Pixeles!R3:R102)</f>
        <v>25</v>
      </c>
      <c r="D16" s="5" t="n">
        <f aca="false">IF($B$5=0,0,C16/$B$5)</f>
        <v>0.328947368421053</v>
      </c>
      <c r="E16" s="4"/>
      <c r="F16" s="4"/>
    </row>
    <row r="17" customFormat="false" ht="15" hidden="false" customHeight="false" outlineLevel="0" collapsed="false">
      <c r="A17" s="4" t="s">
        <v>18</v>
      </c>
      <c r="B17" s="4" t="s">
        <v>10</v>
      </c>
      <c r="C17" s="4" t="n">
        <f aca="false">SUM(Matriz_Pixeles!S3:S102)</f>
        <v>7</v>
      </c>
      <c r="D17" s="5" t="n">
        <f aca="false">IF($B$5=0,0,C17/$B$5)</f>
        <v>0.0921052631578947</v>
      </c>
      <c r="E17" s="4"/>
      <c r="F17" s="4"/>
    </row>
    <row r="18" customFormat="false" ht="15" hidden="false" customHeight="false" outlineLevel="0" collapsed="false">
      <c r="A18" s="4" t="s">
        <v>19</v>
      </c>
      <c r="B18" s="4" t="s">
        <v>20</v>
      </c>
      <c r="C18" s="4" t="n">
        <f aca="false">SUM(Matriz_Pixeles!T3:T102)</f>
        <v>11</v>
      </c>
      <c r="D18" s="5" t="n">
        <f aca="false">IF($B$5=0,0,C18/$B$5)</f>
        <v>0.144736842105263</v>
      </c>
      <c r="E18" s="4"/>
      <c r="F18" s="4"/>
    </row>
    <row r="19" customFormat="false" ht="15" hidden="false" customHeight="false" outlineLevel="0" collapsed="false">
      <c r="A19" s="4" t="s">
        <v>21</v>
      </c>
      <c r="B19" s="4" t="s">
        <v>20</v>
      </c>
      <c r="C19" s="4" t="n">
        <f aca="false">SUM(Matriz_Pixeles!U3:U102)</f>
        <v>20</v>
      </c>
      <c r="D19" s="5" t="n">
        <f aca="false">IF($B$5=0,0,C19/$B$5)</f>
        <v>0.263157894736842</v>
      </c>
      <c r="E19" s="4"/>
      <c r="F19" s="4"/>
    </row>
    <row r="20" customFormat="false" ht="15" hidden="false" customHeight="false" outlineLevel="0" collapsed="false">
      <c r="A20" s="4" t="s">
        <v>22</v>
      </c>
      <c r="B20" s="4" t="s">
        <v>20</v>
      </c>
      <c r="C20" s="4" t="n">
        <f aca="false">SUM(Matriz_Pixeles!V3:V102)</f>
        <v>23</v>
      </c>
      <c r="D20" s="5" t="n">
        <f aca="false">IF($B$5=0,0,C20/$B$5)</f>
        <v>0.302631578947368</v>
      </c>
      <c r="E20" s="4"/>
      <c r="F20" s="4"/>
    </row>
    <row r="21" customFormat="false" ht="15" hidden="false" customHeight="false" outlineLevel="0" collapsed="false">
      <c r="A21" s="4" t="s">
        <v>23</v>
      </c>
      <c r="B21" s="4" t="s">
        <v>20</v>
      </c>
      <c r="C21" s="4" t="n">
        <f aca="false">SUM(Matriz_Pixeles!W3:W102)</f>
        <v>1</v>
      </c>
      <c r="D21" s="5" t="n">
        <f aca="false">IF($B$5=0,0,C21/$B$5)</f>
        <v>0.0131578947368421</v>
      </c>
      <c r="E21" s="4"/>
      <c r="F21" s="4"/>
    </row>
    <row r="22" customFormat="false" ht="15" hidden="false" customHeight="false" outlineLevel="0" collapsed="false">
      <c r="A22" s="4" t="s">
        <v>24</v>
      </c>
      <c r="B22" s="4" t="s">
        <v>25</v>
      </c>
      <c r="C22" s="4" t="n">
        <f aca="false">SUM(Matriz_Pixeles!X3:X102)</f>
        <v>8</v>
      </c>
      <c r="D22" s="5" t="n">
        <f aca="false">IF($B$5=0,0,C22/$B$5)</f>
        <v>0.105263157894737</v>
      </c>
      <c r="E22" s="4"/>
      <c r="F22" s="4"/>
    </row>
    <row r="23" customFormat="false" ht="15" hidden="false" customHeight="false" outlineLevel="0" collapsed="false">
      <c r="A23" s="4" t="s">
        <v>26</v>
      </c>
      <c r="B23" s="4" t="s">
        <v>25</v>
      </c>
      <c r="C23" s="4" t="n">
        <f aca="false">SUM(Matriz_Pixeles!Y3:Y102)</f>
        <v>3</v>
      </c>
      <c r="D23" s="5" t="n">
        <f aca="false">IF($B$5=0,0,C23/$B$5)</f>
        <v>0.0394736842105263</v>
      </c>
      <c r="E23" s="4"/>
      <c r="F23" s="4"/>
    </row>
    <row r="24" customFormat="false" ht="15" hidden="false" customHeight="false" outlineLevel="0" collapsed="false">
      <c r="A24" s="4" t="s">
        <v>27</v>
      </c>
      <c r="B24" s="4" t="s">
        <v>28</v>
      </c>
      <c r="C24" s="4" t="n">
        <f aca="false">SUM(Matriz_Pixeles!Z3:Z102)</f>
        <v>16</v>
      </c>
      <c r="D24" s="5" t="n">
        <f aca="false">IF($B$5=0,0,C24/$B$5)</f>
        <v>0.210526315789474</v>
      </c>
      <c r="E24" s="4"/>
      <c r="F24" s="4"/>
    </row>
    <row r="25" customFormat="false" ht="15" hidden="false" customHeight="false" outlineLevel="0" collapsed="false">
      <c r="A25" s="4" t="s">
        <v>29</v>
      </c>
      <c r="B25" s="4" t="s">
        <v>28</v>
      </c>
      <c r="C25" s="4" t="n">
        <f aca="false">SUM(Matriz_Pixeles!AA3:AA102)</f>
        <v>0</v>
      </c>
      <c r="D25" s="5" t="n">
        <f aca="false">IF($B$5=0,0,C25/$B$5)</f>
        <v>0</v>
      </c>
      <c r="E25" s="4"/>
      <c r="F25" s="4"/>
    </row>
    <row r="26" customFormat="false" ht="15" hidden="false" customHeight="false" outlineLevel="0" collapsed="false">
      <c r="A26" s="4" t="s">
        <v>30</v>
      </c>
      <c r="B26" s="4" t="s">
        <v>28</v>
      </c>
      <c r="C26" s="4" t="n">
        <f aca="false">SUM(Matriz_Pixeles!AB3:AB102)</f>
        <v>0</v>
      </c>
      <c r="D26" s="5" t="n">
        <f aca="false">IF($B$5=0,0,C26/$B$5)</f>
        <v>0</v>
      </c>
      <c r="E26" s="4"/>
      <c r="F26" s="4"/>
    </row>
    <row r="27" customFormat="false" ht="15" hidden="false" customHeight="false" outlineLevel="0" collapsed="false">
      <c r="A27" s="4" t="s">
        <v>31</v>
      </c>
      <c r="B27" s="4" t="s">
        <v>28</v>
      </c>
      <c r="C27" s="4" t="n">
        <f aca="false">SUM(Matriz_Pixeles!AC3:AC102)</f>
        <v>1</v>
      </c>
      <c r="D27" s="5" t="n">
        <f aca="false">IF($B$5=0,0,C27/$B$5)</f>
        <v>0.0131578947368421</v>
      </c>
      <c r="E27" s="4"/>
      <c r="F27" s="4"/>
    </row>
    <row r="28" customFormat="false" ht="15" hidden="false" customHeight="false" outlineLevel="0" collapsed="false">
      <c r="A28" s="4" t="s">
        <v>32</v>
      </c>
      <c r="B28" s="4" t="s">
        <v>28</v>
      </c>
      <c r="C28" s="4" t="n">
        <f aca="false">SUM(Matriz_Pixeles!AD3:AD102)</f>
        <v>10</v>
      </c>
      <c r="D28" s="5" t="n">
        <f aca="false">IF($B$5=0,0,C28/$B$5)</f>
        <v>0.131578947368421</v>
      </c>
      <c r="E28" s="4"/>
      <c r="F28" s="4"/>
    </row>
    <row r="29" customFormat="false" ht="15" hidden="false" customHeight="false" outlineLevel="0" collapsed="false">
      <c r="A29" s="4" t="s">
        <v>33</v>
      </c>
      <c r="B29" s="4" t="s">
        <v>28</v>
      </c>
      <c r="C29" s="4" t="n">
        <f aca="false">SUM(Matriz_Pixeles!AE3:AE102)</f>
        <v>8</v>
      </c>
      <c r="D29" s="5" t="n">
        <f aca="false">IF($B$5=0,0,C29/$B$5)</f>
        <v>0.105263157894737</v>
      </c>
      <c r="E29" s="4"/>
      <c r="F29" s="4"/>
    </row>
    <row r="30" customFormat="false" ht="15" hidden="false" customHeight="false" outlineLevel="0" collapsed="false">
      <c r="A30" s="4" t="s">
        <v>34</v>
      </c>
      <c r="B30" s="4" t="s">
        <v>28</v>
      </c>
      <c r="C30" s="4" t="n">
        <f aca="false">SUM(Matriz_Pixeles!AF3:AF102)</f>
        <v>1</v>
      </c>
      <c r="D30" s="5" t="n">
        <f aca="false">IF($B$5=0,0,C30/$B$5)</f>
        <v>0.0131578947368421</v>
      </c>
      <c r="E30" s="4"/>
      <c r="F30" s="4"/>
    </row>
    <row r="31" customFormat="false" ht="15" hidden="false" customHeight="false" outlineLevel="0" collapsed="false">
      <c r="A31" s="4" t="s">
        <v>35</v>
      </c>
      <c r="B31" s="4" t="s">
        <v>36</v>
      </c>
      <c r="C31" s="4" t="n">
        <f aca="false">SUM(Matriz_Pixeles!AG3:AG102)</f>
        <v>9</v>
      </c>
      <c r="D31" s="5" t="n">
        <f aca="false">IF($B$5=0,0,C31/$B$5)</f>
        <v>0.118421052631579</v>
      </c>
      <c r="E31" s="4"/>
      <c r="F31" s="4"/>
    </row>
    <row r="32" customFormat="false" ht="15" hidden="false" customHeight="false" outlineLevel="0" collapsed="false">
      <c r="A32" s="4" t="s">
        <v>37</v>
      </c>
      <c r="B32" s="4" t="s">
        <v>36</v>
      </c>
      <c r="C32" s="4" t="n">
        <f aca="false">SUM(Matriz_Pixeles!AH3:AH102)</f>
        <v>2</v>
      </c>
      <c r="D32" s="5" t="n">
        <f aca="false">IF($B$5=0,0,C32/$B$5)</f>
        <v>0.0263157894736842</v>
      </c>
      <c r="E32" s="4"/>
      <c r="F32" s="4"/>
    </row>
    <row r="33" customFormat="false" ht="15" hidden="false" customHeight="false" outlineLevel="0" collapsed="false">
      <c r="A33" s="4" t="s">
        <v>38</v>
      </c>
      <c r="B33" s="4" t="s">
        <v>36</v>
      </c>
      <c r="C33" s="4" t="n">
        <f aca="false">SUM(Matriz_Pixeles!AI3:AI102)</f>
        <v>0</v>
      </c>
      <c r="D33" s="5" t="n">
        <f aca="false">IF($B$5=0,0,C33/$B$5)</f>
        <v>0</v>
      </c>
      <c r="E33" s="4"/>
      <c r="F33" s="4"/>
    </row>
    <row r="34" customFormat="false" ht="15" hidden="false" customHeight="false" outlineLevel="0" collapsed="false">
      <c r="A34" s="4" t="s">
        <v>39</v>
      </c>
      <c r="B34" s="4" t="s">
        <v>36</v>
      </c>
      <c r="C34" s="4" t="n">
        <f aca="false">SUM(Matriz_Pixeles!AJ3:AJ102)</f>
        <v>1</v>
      </c>
      <c r="D34" s="5" t="n">
        <f aca="false">IF($B$5=0,0,C34/$B$5)</f>
        <v>0.0131578947368421</v>
      </c>
      <c r="E34" s="4"/>
      <c r="F34" s="4"/>
    </row>
    <row r="35" customFormat="false" ht="15" hidden="false" customHeight="false" outlineLevel="0" collapsed="false">
      <c r="A35" s="4" t="s">
        <v>40</v>
      </c>
      <c r="B35" s="4" t="s">
        <v>36</v>
      </c>
      <c r="C35" s="4" t="n">
        <f aca="false">SUM(Matriz_Pixeles!AK3:AK102)</f>
        <v>6</v>
      </c>
      <c r="D35" s="5" t="n">
        <f aca="false">IF($B$5=0,0,C35/$B$5)</f>
        <v>0.0789473684210526</v>
      </c>
      <c r="E35" s="4"/>
      <c r="F35" s="4"/>
    </row>
    <row r="36" customFormat="false" ht="15" hidden="false" customHeight="false" outlineLevel="0" collapsed="false">
      <c r="A36" s="4" t="s">
        <v>41</v>
      </c>
      <c r="B36" s="4" t="s">
        <v>42</v>
      </c>
      <c r="C36" s="4" t="n">
        <f aca="false">SUM(Matriz_Pixeles!AL3:AL102)</f>
        <v>48</v>
      </c>
      <c r="D36" s="5" t="n">
        <f aca="false">IF($B$5=0,0,C36/$B$5)</f>
        <v>0.631578947368421</v>
      </c>
      <c r="E36" s="4"/>
      <c r="F36" s="4"/>
    </row>
    <row r="37" customFormat="false" ht="15" hidden="false" customHeight="false" outlineLevel="0" collapsed="false">
      <c r="A37" s="4" t="s">
        <v>43</v>
      </c>
      <c r="B37" s="4" t="s">
        <v>44</v>
      </c>
      <c r="C37" s="4" t="n">
        <f aca="false">SUM(Matriz_Pixeles!AM3:AM102)</f>
        <v>3</v>
      </c>
      <c r="D37" s="5" t="n">
        <f aca="false">IF($B$5=0,0,C37/$B$5)</f>
        <v>0.0394736842105263</v>
      </c>
      <c r="E37" s="4"/>
      <c r="F37" s="4"/>
    </row>
    <row r="38" customFormat="false" ht="15" hidden="false" customHeight="false" outlineLevel="0" collapsed="false">
      <c r="A38" s="4" t="s">
        <v>45</v>
      </c>
      <c r="B38" s="4" t="s">
        <v>44</v>
      </c>
      <c r="C38" s="4" t="n">
        <f aca="false">SUM(Matriz_Pixeles!AN3:AN102)</f>
        <v>5</v>
      </c>
      <c r="D38" s="5" t="n">
        <f aca="false">IF($B$5=0,0,C38/$B$5)</f>
        <v>0.0657894736842105</v>
      </c>
      <c r="E38" s="4"/>
      <c r="F38" s="4"/>
    </row>
    <row r="39" customFormat="false" ht="15" hidden="false" customHeight="false" outlineLevel="0" collapsed="false">
      <c r="A39" s="4" t="s">
        <v>46</v>
      </c>
      <c r="B39" s="4" t="s">
        <v>44</v>
      </c>
      <c r="C39" s="4" t="n">
        <f aca="false">SUM(Matriz_Pixeles!AO3:AO102)</f>
        <v>6</v>
      </c>
      <c r="D39" s="5" t="n">
        <f aca="false">IF($B$5=0,0,C39/$B$5)</f>
        <v>0.0789473684210526</v>
      </c>
      <c r="E39" s="4"/>
      <c r="F39" s="4"/>
    </row>
    <row r="40" customFormat="false" ht="15" hidden="false" customHeight="false" outlineLevel="0" collapsed="false">
      <c r="A40" s="4" t="s">
        <v>47</v>
      </c>
      <c r="B40" s="4" t="s">
        <v>44</v>
      </c>
      <c r="C40" s="4" t="n">
        <f aca="false">SUM(Matriz_Pixeles!AP3:AP102)</f>
        <v>1</v>
      </c>
      <c r="D40" s="5" t="n">
        <f aca="false">IF($B$5=0,0,C40/$B$5)</f>
        <v>0.0131578947368421</v>
      </c>
      <c r="E40" s="4"/>
      <c r="F40" s="4"/>
    </row>
    <row r="41" customFormat="false" ht="15" hidden="false" customHeight="false" outlineLevel="0" collapsed="false">
      <c r="A41" s="4" t="s">
        <v>48</v>
      </c>
      <c r="B41" s="4" t="s">
        <v>44</v>
      </c>
      <c r="C41" s="4" t="n">
        <f aca="false">SUM(Matriz_Pixeles!AQ3:AQ102)</f>
        <v>1</v>
      </c>
      <c r="D41" s="5" t="n">
        <f aca="false">IF($B$5=0,0,C41/$B$5)</f>
        <v>0.0131578947368421</v>
      </c>
      <c r="E41" s="4"/>
      <c r="F41" s="4"/>
    </row>
    <row r="42" customFormat="false" ht="15" hidden="false" customHeight="false" outlineLevel="0" collapsed="false">
      <c r="A42" s="4" t="s">
        <v>49</v>
      </c>
      <c r="B42" s="4" t="s">
        <v>44</v>
      </c>
      <c r="C42" s="4" t="n">
        <f aca="false">SUM(Matriz_Pixeles!AR3:AR102)</f>
        <v>5</v>
      </c>
      <c r="D42" s="5" t="n">
        <f aca="false">IF($B$5=0,0,C42/$B$5)</f>
        <v>0.0657894736842105</v>
      </c>
      <c r="E42" s="4"/>
      <c r="F42" s="4"/>
    </row>
    <row r="43" customFormat="false" ht="15" hidden="false" customHeight="false" outlineLevel="0" collapsed="false">
      <c r="A43" s="4" t="s">
        <v>50</v>
      </c>
      <c r="B43" s="4" t="s">
        <v>44</v>
      </c>
      <c r="C43" s="4" t="n">
        <f aca="false">SUM(Matriz_Pixeles!AS3:AS102)</f>
        <v>1</v>
      </c>
      <c r="D43" s="5" t="n">
        <f aca="false">IF($B$5=0,0,C43/$B$5)</f>
        <v>0.0131578947368421</v>
      </c>
      <c r="E43" s="4"/>
      <c r="F43" s="4"/>
    </row>
    <row r="44" customFormat="false" ht="15" hidden="false" customHeight="false" outlineLevel="0" collapsed="false">
      <c r="A44" s="4" t="s">
        <v>51</v>
      </c>
      <c r="B44" s="4" t="s">
        <v>44</v>
      </c>
      <c r="C44" s="4" t="n">
        <f aca="false">SUM(Matriz_Pixeles!AT3:AT102)</f>
        <v>3</v>
      </c>
      <c r="D44" s="5" t="n">
        <f aca="false">IF($B$5=0,0,C44/$B$5)</f>
        <v>0.0394736842105263</v>
      </c>
      <c r="E44" s="4"/>
      <c r="F44" s="4"/>
    </row>
    <row r="45" customFormat="false" ht="15" hidden="false" customHeight="false" outlineLevel="0" collapsed="false">
      <c r="A45" s="4" t="s">
        <v>52</v>
      </c>
      <c r="B45" s="4" t="s">
        <v>53</v>
      </c>
      <c r="C45" s="4" t="n">
        <f aca="false">SUM(Matriz_Pixeles!AU3:AU102)</f>
        <v>0</v>
      </c>
      <c r="D45" s="5" t="n">
        <f aca="false">IF($B$5=0,0,C45/$B$5)</f>
        <v>0</v>
      </c>
      <c r="E45" s="4"/>
      <c r="F45" s="4"/>
    </row>
    <row r="46" customFormat="false" ht="15" hidden="false" customHeight="false" outlineLevel="0" collapsed="false">
      <c r="A46" s="4" t="s">
        <v>54</v>
      </c>
      <c r="B46" s="4" t="s">
        <v>55</v>
      </c>
      <c r="C46" s="4" t="n">
        <f aca="false">SUM(Matriz_Pixeles!AV3:AV102)</f>
        <v>1</v>
      </c>
      <c r="D46" s="5" t="n">
        <f aca="false">IF($B$5=0,0,C46/$B$5)</f>
        <v>0.0131578947368421</v>
      </c>
      <c r="E46" s="4"/>
      <c r="F46" s="4"/>
    </row>
    <row r="47" customFormat="false" ht="15" hidden="false" customHeight="false" outlineLevel="0" collapsed="false">
      <c r="A47" s="4" t="s">
        <v>56</v>
      </c>
      <c r="B47" s="4" t="s">
        <v>57</v>
      </c>
      <c r="C47" s="4" t="n">
        <f aca="false">SUM(Matriz_Pixeles!AW3:AW102)</f>
        <v>1</v>
      </c>
      <c r="D47" s="5" t="n">
        <f aca="false">IF($B$5=0,0,C47/$B$5)</f>
        <v>0.0131578947368421</v>
      </c>
      <c r="E47" s="4"/>
      <c r="F47" s="4"/>
    </row>
    <row r="48" customFormat="false" ht="15" hidden="false" customHeight="false" outlineLevel="0" collapsed="false">
      <c r="A48" s="4" t="s">
        <v>58</v>
      </c>
      <c r="B48" s="4" t="s">
        <v>57</v>
      </c>
      <c r="C48" s="4" t="n">
        <f aca="false">SUM(Matriz_Pixeles!AX3:AX102)</f>
        <v>2</v>
      </c>
      <c r="D48" s="5" t="n">
        <f aca="false">IF($B$5=0,0,C48/$B$5)</f>
        <v>0.0263157894736842</v>
      </c>
      <c r="E48" s="4"/>
      <c r="F48" s="4"/>
    </row>
    <row r="49" customFormat="false" ht="15" hidden="false" customHeight="false" outlineLevel="0" collapsed="false">
      <c r="A49" s="4" t="s">
        <v>59</v>
      </c>
      <c r="B49" s="4" t="s">
        <v>57</v>
      </c>
      <c r="C49" s="4" t="n">
        <f aca="false">SUM(Matriz_Pixeles!AY3:AY102)</f>
        <v>2</v>
      </c>
      <c r="D49" s="5" t="n">
        <f aca="false">IF($B$5=0,0,C49/$B$5)</f>
        <v>0.0263157894736842</v>
      </c>
      <c r="E49" s="4"/>
      <c r="F49" s="4"/>
    </row>
    <row r="50" customFormat="false" ht="15" hidden="false" customHeight="false" outlineLevel="0" collapsed="false">
      <c r="A50" s="4" t="s">
        <v>60</v>
      </c>
      <c r="B50" s="4" t="s">
        <v>57</v>
      </c>
      <c r="C50" s="4" t="n">
        <f aca="false">SUM(Matriz_Pixeles!AZ3:AZ102)</f>
        <v>1</v>
      </c>
      <c r="D50" s="5" t="n">
        <f aca="false">IF($B$5=0,0,C50/$B$5)</f>
        <v>0.0131578947368421</v>
      </c>
      <c r="E50" s="4"/>
      <c r="F50" s="4"/>
    </row>
    <row r="51" customFormat="false" ht="15" hidden="false" customHeight="false" outlineLevel="0" collapsed="false">
      <c r="A51" s="4" t="s">
        <v>61</v>
      </c>
      <c r="B51" s="4" t="s">
        <v>57</v>
      </c>
      <c r="C51" s="4" t="n">
        <f aca="false">SUM(Matriz_Pixeles!BA3:BA102)</f>
        <v>10</v>
      </c>
      <c r="D51" s="5" t="n">
        <f aca="false">IF($B$5=0,0,C51/$B$5)</f>
        <v>0.131578947368421</v>
      </c>
      <c r="E51" s="4"/>
      <c r="F51" s="4"/>
    </row>
    <row r="52" customFormat="false" ht="15" hidden="false" customHeight="false" outlineLevel="0" collapsed="false">
      <c r="A52" s="4" t="s">
        <v>62</v>
      </c>
      <c r="B52" s="4" t="s">
        <v>63</v>
      </c>
      <c r="C52" s="4" t="n">
        <f aca="false">SUM(Matriz_Pixeles!BB3:BB102)</f>
        <v>5</v>
      </c>
      <c r="D52" s="5" t="n">
        <f aca="false">IF($B$5=0,0,C52/$B$5)</f>
        <v>0.0657894736842105</v>
      </c>
      <c r="E52" s="4"/>
      <c r="F52" s="4"/>
    </row>
    <row r="53" customFormat="false" ht="15" hidden="false" customHeight="false" outlineLevel="0" collapsed="false">
      <c r="A53" s="4" t="s">
        <v>64</v>
      </c>
      <c r="B53" s="4" t="s">
        <v>63</v>
      </c>
      <c r="C53" s="4" t="n">
        <f aca="false">SUM(Matriz_Pixeles!BC3:BC102)</f>
        <v>1</v>
      </c>
      <c r="D53" s="5" t="n">
        <f aca="false">IF($B$5=0,0,C53/$B$5)</f>
        <v>0.0131578947368421</v>
      </c>
      <c r="E53" s="4"/>
      <c r="F53" s="4"/>
    </row>
    <row r="54" customFormat="false" ht="15" hidden="false" customHeight="false" outlineLevel="0" collapsed="false">
      <c r="A54" s="4" t="s">
        <v>65</v>
      </c>
      <c r="B54" s="4" t="s">
        <v>66</v>
      </c>
      <c r="C54" s="4" t="n">
        <f aca="false">SUM(Matriz_Pixeles!BD3:BD102)</f>
        <v>54</v>
      </c>
      <c r="D54" s="5" t="n">
        <f aca="false">IF($B$5=0,0,C54/$B$5)</f>
        <v>0.710526315789474</v>
      </c>
      <c r="E54" s="4"/>
      <c r="F54" s="4"/>
    </row>
    <row r="55" customFormat="false" ht="15" hidden="false" customHeight="false" outlineLevel="0" collapsed="false">
      <c r="A55" s="4" t="s">
        <v>67</v>
      </c>
      <c r="B55" s="4" t="s">
        <v>66</v>
      </c>
      <c r="C55" s="4" t="n">
        <f aca="false">SUM(Matriz_Pixeles!BE3:BE102)</f>
        <v>6</v>
      </c>
      <c r="D55" s="5" t="n">
        <f aca="false">IF($B$5=0,0,C55/$B$5)</f>
        <v>0.0789473684210526</v>
      </c>
      <c r="E55" s="4"/>
      <c r="F55" s="4"/>
    </row>
    <row r="56" customFormat="false" ht="15" hidden="false" customHeight="false" outlineLevel="0" collapsed="false">
      <c r="A56" s="4" t="s">
        <v>68</v>
      </c>
      <c r="B56" s="4" t="s">
        <v>69</v>
      </c>
      <c r="C56" s="4" t="n">
        <f aca="false">SUM(Matriz_Pixeles!BF3:BF102)</f>
        <v>71</v>
      </c>
      <c r="D56" s="5" t="n">
        <f aca="false">IF($B$5=0,0,C56/$B$5)</f>
        <v>0.93421052631579</v>
      </c>
      <c r="E56" s="4"/>
      <c r="F56" s="4"/>
    </row>
    <row r="57" customFormat="false" ht="15" hidden="false" customHeight="false" outlineLevel="0" collapsed="false">
      <c r="A57" s="4" t="s">
        <v>70</v>
      </c>
      <c r="B57" s="4" t="s">
        <v>69</v>
      </c>
      <c r="C57" s="4" t="n">
        <f aca="false">SUM(Matriz_Pixeles!BG3:BG102)</f>
        <v>14</v>
      </c>
      <c r="D57" s="5" t="n">
        <f aca="false">IF($B$5=0,0,C57/$B$5)</f>
        <v>0.184210526315789</v>
      </c>
      <c r="E57" s="4"/>
      <c r="F57" s="4"/>
    </row>
    <row r="58" customFormat="false" ht="15" hidden="false" customHeight="false" outlineLevel="0" collapsed="false">
      <c r="A58" s="4" t="s">
        <v>71</v>
      </c>
      <c r="B58" s="4" t="s">
        <v>72</v>
      </c>
      <c r="C58" s="4" t="n">
        <f aca="false">SUM(Matriz_Pixeles!BH3:BH102)</f>
        <v>1</v>
      </c>
      <c r="D58" s="5" t="n">
        <f aca="false">IF($B$5=0,0,C58/$B$5)</f>
        <v>0.0131578947368421</v>
      </c>
      <c r="E58" s="4"/>
      <c r="F58" s="4"/>
    </row>
    <row r="59" customFormat="false" ht="15" hidden="false" customHeight="false" outlineLevel="0" collapsed="false">
      <c r="A59" s="4" t="s">
        <v>73</v>
      </c>
      <c r="B59" s="4" t="s">
        <v>74</v>
      </c>
      <c r="C59" s="4" t="n">
        <f aca="false">SUM(Matriz_Pixeles!BI3:BI102)</f>
        <v>18</v>
      </c>
      <c r="D59" s="5" t="n">
        <f aca="false">IF($B$5=0,0,C59/$B$5)</f>
        <v>0.236842105263158</v>
      </c>
      <c r="E59" s="4"/>
      <c r="F59" s="4"/>
    </row>
    <row r="60" customFormat="false" ht="15" hidden="false" customHeight="false" outlineLevel="0" collapsed="false">
      <c r="A60" s="4" t="s">
        <v>75</v>
      </c>
      <c r="B60" s="4" t="s">
        <v>74</v>
      </c>
      <c r="C60" s="4" t="n">
        <f aca="false">SUM(Matriz_Pixeles!BJ3:BJ102)</f>
        <v>24</v>
      </c>
      <c r="D60" s="5" t="n">
        <f aca="false">IF($B$5=0,0,C60/$B$5)</f>
        <v>0.315789473684211</v>
      </c>
      <c r="E60" s="4"/>
      <c r="F60" s="4"/>
    </row>
    <row r="61" customFormat="false" ht="15" hidden="false" customHeight="false" outlineLevel="0" collapsed="false">
      <c r="A61" s="4" t="s">
        <v>76</v>
      </c>
      <c r="B61" s="4" t="s">
        <v>74</v>
      </c>
      <c r="C61" s="4" t="n">
        <f aca="false">SUM(Matriz_Pixeles!BK3:BK102)</f>
        <v>20</v>
      </c>
      <c r="D61" s="5" t="n">
        <f aca="false">IF($B$5=0,0,C61/$B$5)</f>
        <v>0.263157894736842</v>
      </c>
      <c r="E61" s="4"/>
      <c r="F61" s="4"/>
    </row>
    <row r="62" customFormat="false" ht="15" hidden="false" customHeight="false" outlineLevel="0" collapsed="false">
      <c r="A62" s="4" t="s">
        <v>77</v>
      </c>
      <c r="B62" s="4" t="s">
        <v>74</v>
      </c>
      <c r="C62" s="4" t="n">
        <f aca="false">SUM(Matriz_Pixeles!BL3:BL102)</f>
        <v>1</v>
      </c>
      <c r="D62" s="5" t="n">
        <f aca="false">IF($B$5=0,0,C62/$B$5)</f>
        <v>0.0131578947368421</v>
      </c>
      <c r="E62" s="4"/>
      <c r="F62" s="4"/>
    </row>
    <row r="63" customFormat="false" ht="15" hidden="false" customHeight="false" outlineLevel="0" collapsed="false">
      <c r="A63" s="4" t="s">
        <v>78</v>
      </c>
      <c r="B63" s="4" t="s">
        <v>79</v>
      </c>
      <c r="C63" s="4" t="n">
        <f aca="false">SUM(Matriz_Pixeles!BM3:BM102)</f>
        <v>2</v>
      </c>
      <c r="D63" s="5" t="n">
        <f aca="false">IF($B$5=0,0,C63/$B$5)</f>
        <v>0.0263157894736842</v>
      </c>
      <c r="E63" s="4"/>
      <c r="F63" s="4"/>
    </row>
    <row r="64" customFormat="false" ht="15" hidden="false" customHeight="false" outlineLevel="0" collapsed="false">
      <c r="A64" s="4" t="s">
        <v>80</v>
      </c>
      <c r="B64" s="4" t="s">
        <v>79</v>
      </c>
      <c r="C64" s="4" t="n">
        <f aca="false">SUM(Matriz_Pixeles!BN3:BN102)</f>
        <v>12</v>
      </c>
      <c r="D64" s="5" t="n">
        <f aca="false">IF($B$5=0,0,C64/$B$5)</f>
        <v>0.157894736842105</v>
      </c>
      <c r="E64" s="4"/>
      <c r="F64" s="4"/>
    </row>
    <row r="65" customFormat="false" ht="15" hidden="false" customHeight="false" outlineLevel="0" collapsed="false">
      <c r="A65" s="4" t="s">
        <v>81</v>
      </c>
      <c r="B65" s="4" t="s">
        <v>79</v>
      </c>
      <c r="C65" s="4" t="n">
        <f aca="false">SUM(Matriz_Pixeles!BO3:BO102)</f>
        <v>9</v>
      </c>
      <c r="D65" s="5" t="n">
        <f aca="false">IF($B$5=0,0,C65/$B$5)</f>
        <v>0.118421052631579</v>
      </c>
      <c r="E65" s="4"/>
      <c r="F65" s="4"/>
    </row>
    <row r="66" customFormat="false" ht="15" hidden="false" customHeight="false" outlineLevel="0" collapsed="false">
      <c r="A66" s="4" t="s">
        <v>82</v>
      </c>
      <c r="B66" s="4" t="s">
        <v>79</v>
      </c>
      <c r="C66" s="4" t="n">
        <f aca="false">SUM(Matriz_Pixeles!BP3:BP102)</f>
        <v>2</v>
      </c>
      <c r="D66" s="5" t="n">
        <f aca="false">IF($B$5=0,0,C66/$B$5)</f>
        <v>0.0263157894736842</v>
      </c>
      <c r="E66" s="4"/>
      <c r="F66" s="4"/>
    </row>
    <row r="67" customFormat="false" ht="15" hidden="false" customHeight="false" outlineLevel="0" collapsed="false">
      <c r="A67" s="4" t="s">
        <v>83</v>
      </c>
      <c r="B67" s="4" t="s">
        <v>79</v>
      </c>
      <c r="C67" s="4" t="n">
        <f aca="false">SUM(Matriz_Pixeles!BQ3:BQ102)</f>
        <v>1</v>
      </c>
      <c r="D67" s="5" t="n">
        <f aca="false">IF($B$5=0,0,C67/$B$5)</f>
        <v>0.0131578947368421</v>
      </c>
      <c r="E67" s="4"/>
      <c r="F67" s="4"/>
    </row>
    <row r="68" customFormat="false" ht="15" hidden="false" customHeight="false" outlineLevel="0" collapsed="false">
      <c r="A68" s="4" t="s">
        <v>84</v>
      </c>
      <c r="B68" s="4" t="s">
        <v>79</v>
      </c>
      <c r="C68" s="4" t="n">
        <f aca="false">SUM(Matriz_Pixeles!BR3:BR102)</f>
        <v>2</v>
      </c>
      <c r="D68" s="5" t="n">
        <f aca="false">IF($B$5=0,0,C68/$B$5)</f>
        <v>0.0263157894736842</v>
      </c>
      <c r="E68" s="4"/>
      <c r="F68" s="4"/>
    </row>
    <row r="69" customFormat="false" ht="15" hidden="false" customHeight="false" outlineLevel="0" collapsed="false">
      <c r="A69" s="4" t="s">
        <v>85</v>
      </c>
      <c r="B69" s="4" t="s">
        <v>79</v>
      </c>
      <c r="C69" s="4" t="n">
        <f aca="false">SUM(Matriz_Pixeles!BS3:BS102)</f>
        <v>4</v>
      </c>
      <c r="D69" s="5" t="n">
        <f aca="false">IF($B$5=0,0,C69/$B$5)</f>
        <v>0.0526315789473684</v>
      </c>
      <c r="E69" s="4"/>
      <c r="F69" s="4"/>
    </row>
    <row r="70" customFormat="false" ht="15" hidden="false" customHeight="false" outlineLevel="0" collapsed="false">
      <c r="A70" s="4" t="s">
        <v>86</v>
      </c>
      <c r="B70" s="4" t="s">
        <v>79</v>
      </c>
      <c r="C70" s="4" t="n">
        <f aca="false">SUM(Matriz_Pixeles!BT3:BT102)</f>
        <v>8</v>
      </c>
      <c r="D70" s="5" t="n">
        <f aca="false">IF($B$5=0,0,C70/$B$5)</f>
        <v>0.105263157894737</v>
      </c>
      <c r="E70" s="4"/>
      <c r="F70" s="4"/>
    </row>
    <row r="71" customFormat="false" ht="15" hidden="false" customHeight="false" outlineLevel="0" collapsed="false">
      <c r="A71" s="4" t="s">
        <v>87</v>
      </c>
      <c r="B71" s="4" t="s">
        <v>79</v>
      </c>
      <c r="C71" s="4" t="n">
        <f aca="false">SUM(Matriz_Pixeles!BU3:BU102)</f>
        <v>2</v>
      </c>
      <c r="D71" s="5" t="n">
        <f aca="false">IF($B$5=0,0,C71/$B$5)</f>
        <v>0.0263157894736842</v>
      </c>
      <c r="E71" s="4"/>
      <c r="F71" s="4"/>
    </row>
    <row r="72" customFormat="false" ht="15" hidden="false" customHeight="false" outlineLevel="0" collapsed="false">
      <c r="A72" s="4" t="s">
        <v>88</v>
      </c>
      <c r="B72" s="4" t="s">
        <v>79</v>
      </c>
      <c r="C72" s="4" t="n">
        <f aca="false">SUM(Matriz_Pixeles!BV3:BV102)</f>
        <v>1</v>
      </c>
      <c r="D72" s="5" t="n">
        <f aca="false">IF($B$5=0,0,C72/$B$5)</f>
        <v>0.0131578947368421</v>
      </c>
      <c r="E72" s="4"/>
      <c r="F72" s="4"/>
    </row>
    <row r="73" customFormat="false" ht="15" hidden="false" customHeight="false" outlineLevel="0" collapsed="false">
      <c r="A73" s="4" t="s">
        <v>89</v>
      </c>
      <c r="B73" s="4" t="s">
        <v>90</v>
      </c>
      <c r="C73" s="4" t="n">
        <f aca="false">SUM(Matriz_Pixeles!BW3:BW102)</f>
        <v>1</v>
      </c>
      <c r="D73" s="5" t="n">
        <f aca="false">IF($B$5=0,0,C73/$B$5)</f>
        <v>0.0131578947368421</v>
      </c>
      <c r="E73" s="4"/>
      <c r="F73" s="4"/>
    </row>
    <row r="74" customFormat="false" ht="15" hidden="false" customHeight="false" outlineLevel="0" collapsed="false">
      <c r="A74" s="4" t="s">
        <v>91</v>
      </c>
      <c r="B74" s="4" t="s">
        <v>90</v>
      </c>
      <c r="C74" s="4" t="n">
        <f aca="false">SUM(Matriz_Pixeles!BX3:BX102)</f>
        <v>0</v>
      </c>
      <c r="D74" s="5" t="n">
        <f aca="false">IF($B$5=0,0,C74/$B$5)</f>
        <v>0</v>
      </c>
      <c r="E74" s="4"/>
      <c r="F74" s="4"/>
    </row>
    <row r="75" customFormat="false" ht="15" hidden="false" customHeight="false" outlineLevel="0" collapsed="false">
      <c r="A75" s="4" t="s">
        <v>92</v>
      </c>
      <c r="B75" s="4" t="s">
        <v>93</v>
      </c>
      <c r="C75" s="4" t="n">
        <f aca="false">SUM(Matriz_Pixeles!BY3:BY102)</f>
        <v>7</v>
      </c>
      <c r="D75" s="5" t="n">
        <f aca="false">IF($B$5=0,0,C75/$B$5)</f>
        <v>0.0921052631578947</v>
      </c>
      <c r="E75" s="4"/>
      <c r="F75" s="4"/>
    </row>
    <row r="76" customFormat="false" ht="15" hidden="false" customHeight="false" outlineLevel="0" collapsed="false">
      <c r="A76" s="4" t="s">
        <v>94</v>
      </c>
      <c r="B76" s="4" t="s">
        <v>95</v>
      </c>
      <c r="C76" s="4" t="n">
        <f aca="false">SUM(Matriz_Pixeles!BZ3:BZ102)</f>
        <v>9</v>
      </c>
      <c r="D76" s="5" t="n">
        <f aca="false">IF($B$5=0,0,C76/$B$5)</f>
        <v>0.118421052631579</v>
      </c>
      <c r="E76" s="4"/>
      <c r="F76" s="4"/>
    </row>
    <row r="77" customFormat="false" ht="15" hidden="false" customHeight="false" outlineLevel="0" collapsed="false">
      <c r="A77" s="4" t="s">
        <v>96</v>
      </c>
      <c r="B77" s="4" t="s">
        <v>95</v>
      </c>
      <c r="C77" s="4" t="n">
        <f aca="false">SUM(Matriz_Pixeles!CA3:CA102)</f>
        <v>3</v>
      </c>
      <c r="D77" s="5" t="n">
        <f aca="false">IF($B$5=0,0,C77/$B$5)</f>
        <v>0.0394736842105263</v>
      </c>
      <c r="E77" s="4"/>
      <c r="F77" s="4"/>
    </row>
    <row r="78" customFormat="false" ht="15" hidden="false" customHeight="false" outlineLevel="0" collapsed="false">
      <c r="A78" s="4" t="s">
        <v>97</v>
      </c>
      <c r="B78" s="4" t="s">
        <v>98</v>
      </c>
      <c r="C78" s="4" t="n">
        <f aca="false">SUM(Matriz_Pixeles!CB3:CB102)</f>
        <v>5</v>
      </c>
      <c r="D78" s="5" t="n">
        <f aca="false">IF($B$5=0,0,C78/$B$5)</f>
        <v>0.0657894736842105</v>
      </c>
      <c r="E78" s="4"/>
      <c r="F78" s="4"/>
    </row>
    <row r="79" customFormat="false" ht="15" hidden="false" customHeight="false" outlineLevel="0" collapsed="false">
      <c r="A79" s="4" t="s">
        <v>99</v>
      </c>
      <c r="B79" s="4" t="s">
        <v>98</v>
      </c>
      <c r="C79" s="4" t="n">
        <f aca="false">SUM(Matriz_Pixeles!CC3:CC102)</f>
        <v>6</v>
      </c>
      <c r="D79" s="5" t="n">
        <f aca="false">IF($B$5=0,0,C79/$B$5)</f>
        <v>0.0789473684210526</v>
      </c>
      <c r="E79" s="4"/>
      <c r="F79" s="4"/>
    </row>
    <row r="80" customFormat="false" ht="15" hidden="false" customHeight="false" outlineLevel="0" collapsed="false">
      <c r="A80" s="4" t="s">
        <v>100</v>
      </c>
      <c r="B80" s="4" t="s">
        <v>101</v>
      </c>
      <c r="C80" s="4" t="n">
        <f aca="false">SUM(Matriz_Pixeles!CD3:CD102)</f>
        <v>10</v>
      </c>
      <c r="D80" s="5" t="n">
        <f aca="false">IF($B$5=0,0,C80/$B$5)</f>
        <v>0.131578947368421</v>
      </c>
      <c r="E80" s="4"/>
      <c r="F80" s="4"/>
    </row>
    <row r="81" customFormat="false" ht="15" hidden="false" customHeight="false" outlineLevel="0" collapsed="false">
      <c r="A81" s="4" t="s">
        <v>102</v>
      </c>
      <c r="B81" s="4" t="s">
        <v>101</v>
      </c>
      <c r="C81" s="4" t="n">
        <f aca="false">SUM(Matriz_Pixeles!CE3:CE102)</f>
        <v>15</v>
      </c>
      <c r="D81" s="5" t="n">
        <f aca="false">IF($B$5=0,0,C81/$B$5)</f>
        <v>0.197368421052632</v>
      </c>
      <c r="E81" s="4"/>
      <c r="F81" s="4"/>
    </row>
    <row r="82" customFormat="false" ht="15" hidden="false" customHeight="false" outlineLevel="0" collapsed="false">
      <c r="A82" s="4" t="s">
        <v>103</v>
      </c>
      <c r="B82" s="4" t="s">
        <v>101</v>
      </c>
      <c r="C82" s="4" t="n">
        <f aca="false">SUM(Matriz_Pixeles!CF3:CF102)</f>
        <v>3</v>
      </c>
      <c r="D82" s="5" t="n">
        <f aca="false">IF($B$5=0,0,C82/$B$5)</f>
        <v>0.0394736842105263</v>
      </c>
      <c r="E82" s="4"/>
      <c r="F82" s="4"/>
    </row>
    <row r="83" customFormat="false" ht="15" hidden="false" customHeight="false" outlineLevel="0" collapsed="false">
      <c r="A83" s="4" t="s">
        <v>104</v>
      </c>
      <c r="B83" s="4" t="s">
        <v>101</v>
      </c>
      <c r="C83" s="4" t="n">
        <f aca="false">SUM(Matriz_Pixeles!CG3:CG102)</f>
        <v>4</v>
      </c>
      <c r="D83" s="5" t="n">
        <f aca="false">IF($B$5=0,0,C83/$B$5)</f>
        <v>0.0526315789473684</v>
      </c>
      <c r="E83" s="4"/>
      <c r="F83" s="4"/>
    </row>
    <row r="84" customFormat="false" ht="15" hidden="false" customHeight="false" outlineLevel="0" collapsed="false">
      <c r="A84" s="4" t="s">
        <v>105</v>
      </c>
      <c r="B84" s="4" t="s">
        <v>101</v>
      </c>
      <c r="C84" s="4" t="n">
        <f aca="false">SUM(Matriz_Pixeles!CH3:CH102)</f>
        <v>4</v>
      </c>
      <c r="D84" s="5" t="n">
        <f aca="false">IF($B$5=0,0,C84/$B$5)</f>
        <v>0.0526315789473684</v>
      </c>
      <c r="E84" s="4"/>
      <c r="F84" s="4"/>
    </row>
    <row r="85" customFormat="false" ht="15" hidden="false" customHeight="false" outlineLevel="0" collapsed="false">
      <c r="A85" s="4" t="s">
        <v>106</v>
      </c>
      <c r="B85" s="4" t="s">
        <v>107</v>
      </c>
      <c r="C85" s="4" t="n">
        <f aca="false">SUM(Matriz_Pixeles!CI3:CI102)</f>
        <v>0</v>
      </c>
      <c r="D85" s="5" t="n">
        <f aca="false">IF($B$5=0,0,C85/$B$5)</f>
        <v>0</v>
      </c>
      <c r="E85" s="4"/>
      <c r="F85" s="4"/>
    </row>
    <row r="86" customFormat="false" ht="15" hidden="false" customHeight="false" outlineLevel="0" collapsed="false">
      <c r="A86" s="4" t="s">
        <v>108</v>
      </c>
      <c r="B86" s="4" t="s">
        <v>107</v>
      </c>
      <c r="C86" s="4" t="n">
        <f aca="false">SUM(Matriz_Pixeles!CJ3:CJ102)</f>
        <v>19</v>
      </c>
      <c r="D86" s="5" t="n">
        <f aca="false">IF($B$5=0,0,C86/$B$5)</f>
        <v>0.25</v>
      </c>
      <c r="E86" s="4"/>
      <c r="F86" s="4"/>
    </row>
    <row r="88" customFormat="false" ht="15" hidden="false" customHeight="false" outlineLevel="0" collapsed="false">
      <c r="A88" s="6" t="s">
        <v>109</v>
      </c>
    </row>
    <row r="89" customFormat="false" ht="15" hidden="false" customHeight="false" outlineLevel="0" collapsed="false">
      <c r="A89" s="3" t="s">
        <v>6</v>
      </c>
      <c r="B89" s="3" t="s">
        <v>110</v>
      </c>
      <c r="C89" s="3" t="s">
        <v>111</v>
      </c>
      <c r="D89" s="3" t="s">
        <v>21</v>
      </c>
      <c r="E89" s="3" t="s">
        <v>19</v>
      </c>
      <c r="F89" s="3" t="s">
        <v>112</v>
      </c>
      <c r="G89" s="3" t="s">
        <v>113</v>
      </c>
      <c r="H89" s="3" t="s">
        <v>114</v>
      </c>
      <c r="I89" s="3" t="s">
        <v>115</v>
      </c>
      <c r="J89" s="3" t="s">
        <v>116</v>
      </c>
    </row>
    <row r="90" customFormat="false" ht="15" hidden="false" customHeight="false" outlineLevel="0" collapsed="false">
      <c r="A90" s="4" t="s">
        <v>117</v>
      </c>
      <c r="B90" s="4" t="n">
        <f aca="false">COUNTIF(Matriz_Pixeles!$D$3:$D$102,A90)</f>
        <v>6</v>
      </c>
      <c r="C90" s="4" t="n">
        <f aca="false">COUNTIFS(Matriz_Pixeles!$D$3:$D$102,A90,Matriz_Pixeles!$F$3:$F$102,"&lt;&gt;BLOQUEADO*")</f>
        <v>5</v>
      </c>
      <c r="D90" s="4" t="n">
        <f aca="false">SUMIF(Matriz_Pixeles!$D$3:$D$102,A90,Matriz_Pixeles!U$3:U$102)</f>
        <v>1</v>
      </c>
      <c r="E90" s="4" t="n">
        <f aca="false">SUMIF(Matriz_Pixeles!$D$3:$D$102,A90,Matriz_Pixeles!T$3:T$102)</f>
        <v>0</v>
      </c>
      <c r="F90" s="4" t="n">
        <f aca="false">SUMPRODUCT((Matriz_Pixeles!$D$3:$D$102=A90)*((Matriz_Pixeles!X$3:X$102=1)+(Matriz_Pixeles!Y$3:Y$102=1)&gt;0))</f>
        <v>2</v>
      </c>
      <c r="G90" s="4" t="n">
        <f aca="false">SUMPRODUCT((Matriz_Pixeles!$D$3:$D$102=A90)*(((Matriz_Pixeles!Z$3:Z$102=1)+(Matriz_Pixeles!AA$3:AA$102=1)+(Matriz_Pixeles!AB$3:AB$102=1)+(Matriz_Pixeles!AC$3:AC$102=1)+(Matriz_Pixeles!AD$3:AD$102=1)+(Matriz_Pixeles!AE$3:AE$102=1)+(Matriz_Pixeles!AF$3:AF$102=1))&gt;0))</f>
        <v>1</v>
      </c>
      <c r="H90" s="4" t="n">
        <f aca="false">SUMPRODUCT((Matriz_Pixeles!$D$3:$D$102=A90)*(((Matriz_Pixeles!AG$3:AG$102=1)+(Matriz_Pixeles!AH$3:AH$102=1)+(Matriz_Pixeles!AI$3:AI$102=1)+(Matriz_Pixeles!AJ$3:AJ$102=1)+(Matriz_Pixeles!AK$3:AK$102=1))&gt;0))</f>
        <v>1</v>
      </c>
      <c r="I90" s="4" t="n">
        <f aca="false">SUMIF(Matriz_Pixeles!$D$3:$D$102,A90,Matriz_Pixeles!M$3:M$102)</f>
        <v>1</v>
      </c>
      <c r="J90" s="4" t="n">
        <f aca="false">SUMIF(Matriz_Pixeles!$D$3:$D$102,A90,Matriz_Pixeles!L$3:L$102)</f>
        <v>1</v>
      </c>
    </row>
    <row r="91" customFormat="false" ht="15" hidden="false" customHeight="false" outlineLevel="0" collapsed="false">
      <c r="A91" s="4" t="s">
        <v>118</v>
      </c>
      <c r="B91" s="4" t="n">
        <f aca="false">COUNTIF(Matriz_Pixeles!$D$3:$D$102,A91)</f>
        <v>8</v>
      </c>
      <c r="C91" s="4" t="n">
        <f aca="false">COUNTIFS(Matriz_Pixeles!$D$3:$D$102,A91,Matriz_Pixeles!$F$3:$F$102,"&lt;&gt;BLOQUEADO*")</f>
        <v>5</v>
      </c>
      <c r="D91" s="4" t="n">
        <f aca="false">SUMIF(Matriz_Pixeles!$D$3:$D$102,A91,Matriz_Pixeles!U$3:U$102)</f>
        <v>3</v>
      </c>
      <c r="E91" s="4" t="n">
        <f aca="false">SUMIF(Matriz_Pixeles!$D$3:$D$102,A91,Matriz_Pixeles!T$3:T$102)</f>
        <v>0</v>
      </c>
      <c r="F91" s="4" t="n">
        <f aca="false">SUMPRODUCT((Matriz_Pixeles!$D$3:$D$102=A91)*((Matriz_Pixeles!X$3:X$102=1)+(Matriz_Pixeles!Y$3:Y$102=1)&gt;0))</f>
        <v>0</v>
      </c>
      <c r="G91" s="4" t="n">
        <f aca="false">SUMPRODUCT((Matriz_Pixeles!$D$3:$D$102=A91)*(((Matriz_Pixeles!Z$3:Z$102=1)+(Matriz_Pixeles!AA$3:AA$102=1)+(Matriz_Pixeles!AB$3:AB$102=1)+(Matriz_Pixeles!AC$3:AC$102=1)+(Matriz_Pixeles!AD$3:AD$102=1)+(Matriz_Pixeles!AE$3:AE$102=1)+(Matriz_Pixeles!AF$3:AF$102=1))&gt;0))</f>
        <v>2</v>
      </c>
      <c r="H91" s="4" t="n">
        <f aca="false">SUMPRODUCT((Matriz_Pixeles!$D$3:$D$102=A91)*(((Matriz_Pixeles!AG$3:AG$102=1)+(Matriz_Pixeles!AH$3:AH$102=1)+(Matriz_Pixeles!AI$3:AI$102=1)+(Matriz_Pixeles!AJ$3:AJ$102=1)+(Matriz_Pixeles!AK$3:AK$102=1))&gt;0))</f>
        <v>4</v>
      </c>
      <c r="I91" s="4" t="n">
        <f aca="false">SUMIF(Matriz_Pixeles!$D$3:$D$102,A91,Matriz_Pixeles!M$3:M$102)</f>
        <v>4</v>
      </c>
      <c r="J91" s="4" t="n">
        <f aca="false">SUMIF(Matriz_Pixeles!$D$3:$D$102,A91,Matriz_Pixeles!L$3:L$102)</f>
        <v>3</v>
      </c>
    </row>
    <row r="92" customFormat="false" ht="15" hidden="false" customHeight="false" outlineLevel="0" collapsed="false">
      <c r="A92" s="4" t="s">
        <v>119</v>
      </c>
      <c r="B92" s="4" t="n">
        <f aca="false">COUNTIF(Matriz_Pixeles!$D$3:$D$102,A92)</f>
        <v>9</v>
      </c>
      <c r="C92" s="4" t="n">
        <f aca="false">COUNTIFS(Matriz_Pixeles!$D$3:$D$102,A92,Matriz_Pixeles!$F$3:$F$102,"&lt;&gt;BLOQUEADO*")</f>
        <v>6</v>
      </c>
      <c r="D92" s="4" t="n">
        <f aca="false">SUMIF(Matriz_Pixeles!$D$3:$D$102,A92,Matriz_Pixeles!U$3:U$102)</f>
        <v>0</v>
      </c>
      <c r="E92" s="4" t="n">
        <f aca="false">SUMIF(Matriz_Pixeles!$D$3:$D$102,A92,Matriz_Pixeles!T$3:T$102)</f>
        <v>0</v>
      </c>
      <c r="F92" s="4" t="n">
        <f aca="false">SUMPRODUCT((Matriz_Pixeles!$D$3:$D$102=A92)*((Matriz_Pixeles!X$3:X$102=1)+(Matriz_Pixeles!Y$3:Y$102=1)&gt;0))</f>
        <v>0</v>
      </c>
      <c r="G92" s="4" t="n">
        <f aca="false">SUMPRODUCT((Matriz_Pixeles!$D$3:$D$102=A92)*(((Matriz_Pixeles!Z$3:Z$102=1)+(Matriz_Pixeles!AA$3:AA$102=1)+(Matriz_Pixeles!AB$3:AB$102=1)+(Matriz_Pixeles!AC$3:AC$102=1)+(Matriz_Pixeles!AD$3:AD$102=1)+(Matriz_Pixeles!AE$3:AE$102=1)+(Matriz_Pixeles!AF$3:AF$102=1))&gt;0))</f>
        <v>0</v>
      </c>
      <c r="H92" s="4" t="n">
        <f aca="false">SUMPRODUCT((Matriz_Pixeles!$D$3:$D$102=A92)*(((Matriz_Pixeles!AG$3:AG$102=1)+(Matriz_Pixeles!AH$3:AH$102=1)+(Matriz_Pixeles!AI$3:AI$102=1)+(Matriz_Pixeles!AJ$3:AJ$102=1)+(Matriz_Pixeles!AK$3:AK$102=1))&gt;0))</f>
        <v>1</v>
      </c>
      <c r="I92" s="4" t="n">
        <f aca="false">SUMIF(Matriz_Pixeles!$D$3:$D$102,A92,Matriz_Pixeles!M$3:M$102)</f>
        <v>2</v>
      </c>
      <c r="J92" s="4" t="n">
        <f aca="false">SUMIF(Matriz_Pixeles!$D$3:$D$102,A92,Matriz_Pixeles!L$3:L$102)</f>
        <v>1</v>
      </c>
    </row>
    <row r="93" customFormat="false" ht="15" hidden="false" customHeight="false" outlineLevel="0" collapsed="false">
      <c r="A93" s="4" t="s">
        <v>120</v>
      </c>
      <c r="B93" s="4" t="n">
        <f aca="false">COUNTIF(Matriz_Pixeles!$D$3:$D$102,A93)</f>
        <v>7</v>
      </c>
      <c r="C93" s="4" t="n">
        <f aca="false">COUNTIFS(Matriz_Pixeles!$D$3:$D$102,A93,Matriz_Pixeles!$F$3:$F$102,"&lt;&gt;BLOQUEADO*")</f>
        <v>7</v>
      </c>
      <c r="D93" s="4" t="n">
        <f aca="false">SUMIF(Matriz_Pixeles!$D$3:$D$102,A93,Matriz_Pixeles!U$3:U$102)</f>
        <v>0</v>
      </c>
      <c r="E93" s="4" t="n">
        <f aca="false">SUMIF(Matriz_Pixeles!$D$3:$D$102,A93,Matriz_Pixeles!T$3:T$102)</f>
        <v>2</v>
      </c>
      <c r="F93" s="4" t="n">
        <f aca="false">SUMPRODUCT((Matriz_Pixeles!$D$3:$D$102=A93)*((Matriz_Pixeles!X$3:X$102=1)+(Matriz_Pixeles!Y$3:Y$102=1)&gt;0))</f>
        <v>2</v>
      </c>
      <c r="G93" s="4" t="n">
        <f aca="false">SUMPRODUCT((Matriz_Pixeles!$D$3:$D$102=A93)*(((Matriz_Pixeles!Z$3:Z$102=1)+(Matriz_Pixeles!AA$3:AA$102=1)+(Matriz_Pixeles!AB$3:AB$102=1)+(Matriz_Pixeles!AC$3:AC$102=1)+(Matriz_Pixeles!AD$3:AD$102=1)+(Matriz_Pixeles!AE$3:AE$102=1)+(Matriz_Pixeles!AF$3:AF$102=1))&gt;0))</f>
        <v>1</v>
      </c>
      <c r="H93" s="4" t="n">
        <f aca="false">SUMPRODUCT((Matriz_Pixeles!$D$3:$D$102=A93)*(((Matriz_Pixeles!AG$3:AG$102=1)+(Matriz_Pixeles!AH$3:AH$102=1)+(Matriz_Pixeles!AI$3:AI$102=1)+(Matriz_Pixeles!AJ$3:AJ$102=1)+(Matriz_Pixeles!AK$3:AK$102=1))&gt;0))</f>
        <v>3</v>
      </c>
      <c r="I93" s="4" t="n">
        <f aca="false">SUMIF(Matriz_Pixeles!$D$3:$D$102,A93,Matriz_Pixeles!M$3:M$102)</f>
        <v>3</v>
      </c>
      <c r="J93" s="4" t="n">
        <f aca="false">SUMIF(Matriz_Pixeles!$D$3:$D$102,A93,Matriz_Pixeles!L$3:L$102)</f>
        <v>5</v>
      </c>
    </row>
    <row r="94" customFormat="false" ht="15" hidden="false" customHeight="false" outlineLevel="0" collapsed="false">
      <c r="A94" s="4" t="s">
        <v>121</v>
      </c>
      <c r="B94" s="4" t="n">
        <f aca="false">COUNTIF(Matriz_Pixeles!$D$3:$D$102,A94)</f>
        <v>5</v>
      </c>
      <c r="C94" s="4" t="n">
        <f aca="false">COUNTIFS(Matriz_Pixeles!$D$3:$D$102,A94,Matriz_Pixeles!$F$3:$F$102,"&lt;&gt;BLOQUEADO*")</f>
        <v>2</v>
      </c>
      <c r="D94" s="4" t="n">
        <f aca="false">SUMIF(Matriz_Pixeles!$D$3:$D$102,A94,Matriz_Pixeles!U$3:U$102)</f>
        <v>1</v>
      </c>
      <c r="E94" s="4" t="n">
        <f aca="false">SUMIF(Matriz_Pixeles!$D$3:$D$102,A94,Matriz_Pixeles!T$3:T$102)</f>
        <v>1</v>
      </c>
      <c r="F94" s="4" t="n">
        <f aca="false">SUMPRODUCT((Matriz_Pixeles!$D$3:$D$102=A94)*((Matriz_Pixeles!X$3:X$102=1)+(Matriz_Pixeles!Y$3:Y$102=1)&gt;0))</f>
        <v>0</v>
      </c>
      <c r="G94" s="4" t="n">
        <f aca="false">SUMPRODUCT((Matriz_Pixeles!$D$3:$D$102=A94)*(((Matriz_Pixeles!Z$3:Z$102=1)+(Matriz_Pixeles!AA$3:AA$102=1)+(Matriz_Pixeles!AB$3:AB$102=1)+(Matriz_Pixeles!AC$3:AC$102=1)+(Matriz_Pixeles!AD$3:AD$102=1)+(Matriz_Pixeles!AE$3:AE$102=1)+(Matriz_Pixeles!AF$3:AF$102=1))&gt;0))</f>
        <v>0</v>
      </c>
      <c r="H94" s="4" t="n">
        <f aca="false">SUMPRODUCT((Matriz_Pixeles!$D$3:$D$102=A94)*(((Matriz_Pixeles!AG$3:AG$102=1)+(Matriz_Pixeles!AH$3:AH$102=1)+(Matriz_Pixeles!AI$3:AI$102=1)+(Matriz_Pixeles!AJ$3:AJ$102=1)+(Matriz_Pixeles!AK$3:AK$102=1))&gt;0))</f>
        <v>1</v>
      </c>
      <c r="I94" s="4" t="n">
        <f aca="false">SUMIF(Matriz_Pixeles!$D$3:$D$102,A94,Matriz_Pixeles!M$3:M$102)</f>
        <v>2</v>
      </c>
      <c r="J94" s="4" t="n">
        <f aca="false">SUMIF(Matriz_Pixeles!$D$3:$D$102,A94,Matriz_Pixeles!L$3:L$102)</f>
        <v>2</v>
      </c>
    </row>
    <row r="95" customFormat="false" ht="15" hidden="false" customHeight="false" outlineLevel="0" collapsed="false">
      <c r="A95" s="4" t="s">
        <v>122</v>
      </c>
      <c r="B95" s="4" t="n">
        <f aca="false">COUNTIF(Matriz_Pixeles!$D$3:$D$102,A95)</f>
        <v>6</v>
      </c>
      <c r="C95" s="4" t="n">
        <f aca="false">COUNTIFS(Matriz_Pixeles!$D$3:$D$102,A95,Matriz_Pixeles!$F$3:$F$102,"&lt;&gt;BLOQUEADO*")</f>
        <v>5</v>
      </c>
      <c r="D95" s="4" t="n">
        <f aca="false">SUMIF(Matriz_Pixeles!$D$3:$D$102,A95,Matriz_Pixeles!U$3:U$102)</f>
        <v>1</v>
      </c>
      <c r="E95" s="4" t="n">
        <f aca="false">SUMIF(Matriz_Pixeles!$D$3:$D$102,A95,Matriz_Pixeles!T$3:T$102)</f>
        <v>0</v>
      </c>
      <c r="F95" s="4" t="n">
        <f aca="false">SUMPRODUCT((Matriz_Pixeles!$D$3:$D$102=A95)*((Matriz_Pixeles!X$3:X$102=1)+(Matriz_Pixeles!Y$3:Y$102=1)&gt;0))</f>
        <v>0</v>
      </c>
      <c r="G95" s="4" t="n">
        <f aca="false">SUMPRODUCT((Matriz_Pixeles!$D$3:$D$102=A95)*(((Matriz_Pixeles!Z$3:Z$102=1)+(Matriz_Pixeles!AA$3:AA$102=1)+(Matriz_Pixeles!AB$3:AB$102=1)+(Matriz_Pixeles!AC$3:AC$102=1)+(Matriz_Pixeles!AD$3:AD$102=1)+(Matriz_Pixeles!AE$3:AE$102=1)+(Matriz_Pixeles!AF$3:AF$102=1))&gt;0))</f>
        <v>1</v>
      </c>
      <c r="H95" s="4" t="n">
        <f aca="false">SUMPRODUCT((Matriz_Pixeles!$D$3:$D$102=A95)*(((Matriz_Pixeles!AG$3:AG$102=1)+(Matriz_Pixeles!AH$3:AH$102=1)+(Matriz_Pixeles!AI$3:AI$102=1)+(Matriz_Pixeles!AJ$3:AJ$102=1)+(Matriz_Pixeles!AK$3:AK$102=1))&gt;0))</f>
        <v>0</v>
      </c>
      <c r="I95" s="4" t="n">
        <f aca="false">SUMIF(Matriz_Pixeles!$D$3:$D$102,A95,Matriz_Pixeles!M$3:M$102)</f>
        <v>1</v>
      </c>
      <c r="J95" s="4" t="n">
        <f aca="false">SUMIF(Matriz_Pixeles!$D$3:$D$102,A95,Matriz_Pixeles!L$3:L$102)</f>
        <v>1</v>
      </c>
    </row>
    <row r="96" customFormat="false" ht="15" hidden="false" customHeight="false" outlineLevel="0" collapsed="false">
      <c r="A96" s="4" t="s">
        <v>123</v>
      </c>
      <c r="B96" s="4" t="n">
        <f aca="false">COUNTIF(Matriz_Pixeles!$D$3:$D$102,A96)</f>
        <v>9</v>
      </c>
      <c r="C96" s="4" t="n">
        <f aca="false">COUNTIFS(Matriz_Pixeles!$D$3:$D$102,A96,Matriz_Pixeles!$F$3:$F$102,"&lt;&gt;BLOQUEADO*")</f>
        <v>6</v>
      </c>
      <c r="D96" s="4" t="n">
        <f aca="false">SUMIF(Matriz_Pixeles!$D$3:$D$102,A96,Matriz_Pixeles!U$3:U$102)</f>
        <v>1</v>
      </c>
      <c r="E96" s="4" t="n">
        <f aca="false">SUMIF(Matriz_Pixeles!$D$3:$D$102,A96,Matriz_Pixeles!T$3:T$102)</f>
        <v>0</v>
      </c>
      <c r="F96" s="4" t="n">
        <f aca="false">SUMPRODUCT((Matriz_Pixeles!$D$3:$D$102=A96)*((Matriz_Pixeles!X$3:X$102=1)+(Matriz_Pixeles!Y$3:Y$102=1)&gt;0))</f>
        <v>0</v>
      </c>
      <c r="G96" s="4" t="n">
        <f aca="false">SUMPRODUCT((Matriz_Pixeles!$D$3:$D$102=A96)*(((Matriz_Pixeles!Z$3:Z$102=1)+(Matriz_Pixeles!AA$3:AA$102=1)+(Matriz_Pixeles!AB$3:AB$102=1)+(Matriz_Pixeles!AC$3:AC$102=1)+(Matriz_Pixeles!AD$3:AD$102=1)+(Matriz_Pixeles!AE$3:AE$102=1)+(Matriz_Pixeles!AF$3:AF$102=1))&gt;0))</f>
        <v>3</v>
      </c>
      <c r="H96" s="4" t="n">
        <f aca="false">SUMPRODUCT((Matriz_Pixeles!$D$3:$D$102=A96)*(((Matriz_Pixeles!AG$3:AG$102=1)+(Matriz_Pixeles!AH$3:AH$102=1)+(Matriz_Pixeles!AI$3:AI$102=1)+(Matriz_Pixeles!AJ$3:AJ$102=1)+(Matriz_Pixeles!AK$3:AK$102=1))&gt;0))</f>
        <v>0</v>
      </c>
      <c r="I96" s="4" t="n">
        <f aca="false">SUMIF(Matriz_Pixeles!$D$3:$D$102,A96,Matriz_Pixeles!M$3:M$102)</f>
        <v>4</v>
      </c>
      <c r="J96" s="4" t="n">
        <f aca="false">SUMIF(Matriz_Pixeles!$D$3:$D$102,A96,Matriz_Pixeles!L$3:L$102)</f>
        <v>5</v>
      </c>
    </row>
    <row r="97" customFormat="false" ht="15" hidden="false" customHeight="false" outlineLevel="0" collapsed="false">
      <c r="A97" s="4" t="s">
        <v>124</v>
      </c>
      <c r="B97" s="4" t="n">
        <f aca="false">COUNTIF(Matriz_Pixeles!$D$3:$D$102,A97)</f>
        <v>6</v>
      </c>
      <c r="C97" s="4" t="n">
        <f aca="false">COUNTIFS(Matriz_Pixeles!$D$3:$D$102,A97,Matriz_Pixeles!$F$3:$F$102,"&lt;&gt;BLOQUEADO*")</f>
        <v>6</v>
      </c>
      <c r="D97" s="4" t="n">
        <f aca="false">SUMIF(Matriz_Pixeles!$D$3:$D$102,A97,Matriz_Pixeles!U$3:U$102)</f>
        <v>3</v>
      </c>
      <c r="E97" s="4" t="n">
        <f aca="false">SUMIF(Matriz_Pixeles!$D$3:$D$102,A97,Matriz_Pixeles!T$3:T$102)</f>
        <v>2</v>
      </c>
      <c r="F97" s="4" t="n">
        <f aca="false">SUMPRODUCT((Matriz_Pixeles!$D$3:$D$102=A97)*((Matriz_Pixeles!X$3:X$102=1)+(Matriz_Pixeles!Y$3:Y$102=1)&gt;0))</f>
        <v>2</v>
      </c>
      <c r="G97" s="4" t="n">
        <f aca="false">SUMPRODUCT((Matriz_Pixeles!$D$3:$D$102=A97)*(((Matriz_Pixeles!Z$3:Z$102=1)+(Matriz_Pixeles!AA$3:AA$102=1)+(Matriz_Pixeles!AB$3:AB$102=1)+(Matriz_Pixeles!AC$3:AC$102=1)+(Matriz_Pixeles!AD$3:AD$102=1)+(Matriz_Pixeles!AE$3:AE$102=1)+(Matriz_Pixeles!AF$3:AF$102=1))&gt;0))</f>
        <v>1</v>
      </c>
      <c r="H97" s="4" t="n">
        <f aca="false">SUMPRODUCT((Matriz_Pixeles!$D$3:$D$102=A97)*(((Matriz_Pixeles!AG$3:AG$102=1)+(Matriz_Pixeles!AH$3:AH$102=1)+(Matriz_Pixeles!AI$3:AI$102=1)+(Matriz_Pixeles!AJ$3:AJ$102=1)+(Matriz_Pixeles!AK$3:AK$102=1))&gt;0))</f>
        <v>2</v>
      </c>
      <c r="I97" s="4" t="n">
        <f aca="false">SUMIF(Matriz_Pixeles!$D$3:$D$102,A97,Matriz_Pixeles!M$3:M$102)</f>
        <v>3</v>
      </c>
      <c r="J97" s="4" t="n">
        <f aca="false">SUMIF(Matriz_Pixeles!$D$3:$D$102,A97,Matriz_Pixeles!L$3:L$102)</f>
        <v>4</v>
      </c>
    </row>
    <row r="98" customFormat="false" ht="15" hidden="false" customHeight="false" outlineLevel="0" collapsed="false">
      <c r="A98" s="4" t="s">
        <v>125</v>
      </c>
      <c r="B98" s="4" t="n">
        <f aca="false">COUNTIF(Matriz_Pixeles!$D$3:$D$102,A98)</f>
        <v>7</v>
      </c>
      <c r="C98" s="4" t="n">
        <f aca="false">COUNTIFS(Matriz_Pixeles!$D$3:$D$102,A98,Matriz_Pixeles!$F$3:$F$102,"&lt;&gt;BLOQUEADO*")</f>
        <v>6</v>
      </c>
      <c r="D98" s="4" t="n">
        <f aca="false">SUMIF(Matriz_Pixeles!$D$3:$D$102,A98,Matriz_Pixeles!U$3:U$102)</f>
        <v>1</v>
      </c>
      <c r="E98" s="4" t="n">
        <f aca="false">SUMIF(Matriz_Pixeles!$D$3:$D$102,A98,Matriz_Pixeles!T$3:T$102)</f>
        <v>1</v>
      </c>
      <c r="F98" s="4" t="n">
        <f aca="false">SUMPRODUCT((Matriz_Pixeles!$D$3:$D$102=A98)*((Matriz_Pixeles!X$3:X$102=1)+(Matriz_Pixeles!Y$3:Y$102=1)&gt;0))</f>
        <v>1</v>
      </c>
      <c r="G98" s="4" t="n">
        <f aca="false">SUMPRODUCT((Matriz_Pixeles!$D$3:$D$102=A98)*(((Matriz_Pixeles!Z$3:Z$102=1)+(Matriz_Pixeles!AA$3:AA$102=1)+(Matriz_Pixeles!AB$3:AB$102=1)+(Matriz_Pixeles!AC$3:AC$102=1)+(Matriz_Pixeles!AD$3:AD$102=1)+(Matriz_Pixeles!AE$3:AE$102=1)+(Matriz_Pixeles!AF$3:AF$102=1))&gt;0))</f>
        <v>4</v>
      </c>
      <c r="H98" s="4" t="n">
        <f aca="false">SUMPRODUCT((Matriz_Pixeles!$D$3:$D$102=A98)*(((Matriz_Pixeles!AG$3:AG$102=1)+(Matriz_Pixeles!AH$3:AH$102=1)+(Matriz_Pixeles!AI$3:AI$102=1)+(Matriz_Pixeles!AJ$3:AJ$102=1)+(Matriz_Pixeles!AK$3:AK$102=1))&gt;0))</f>
        <v>0</v>
      </c>
      <c r="I98" s="4" t="n">
        <f aca="false">SUMIF(Matriz_Pixeles!$D$3:$D$102,A98,Matriz_Pixeles!M$3:M$102)</f>
        <v>3</v>
      </c>
      <c r="J98" s="4" t="n">
        <f aca="false">SUMIF(Matriz_Pixeles!$D$3:$D$102,A98,Matriz_Pixeles!L$3:L$102)</f>
        <v>3</v>
      </c>
    </row>
    <row r="99" customFormat="false" ht="15" hidden="false" customHeight="false" outlineLevel="0" collapsed="false">
      <c r="A99" s="4" t="s">
        <v>126</v>
      </c>
      <c r="B99" s="4" t="n">
        <f aca="false">COUNTIF(Matriz_Pixeles!$D$3:$D$102,A99)</f>
        <v>7</v>
      </c>
      <c r="C99" s="4" t="n">
        <f aca="false">COUNTIFS(Matriz_Pixeles!$D$3:$D$102,A99,Matriz_Pixeles!$F$3:$F$102,"&lt;&gt;BLOQUEADO*")</f>
        <v>5</v>
      </c>
      <c r="D99" s="4" t="n">
        <f aca="false">SUMIF(Matriz_Pixeles!$D$3:$D$102,A99,Matriz_Pixeles!U$3:U$102)</f>
        <v>3</v>
      </c>
      <c r="E99" s="4" t="n">
        <f aca="false">SUMIF(Matriz_Pixeles!$D$3:$D$102,A99,Matriz_Pixeles!T$3:T$102)</f>
        <v>2</v>
      </c>
      <c r="F99" s="4" t="n">
        <f aca="false">SUMPRODUCT((Matriz_Pixeles!$D$3:$D$102=A99)*((Matriz_Pixeles!X$3:X$102=1)+(Matriz_Pixeles!Y$3:Y$102=1)&gt;0))</f>
        <v>1</v>
      </c>
      <c r="G99" s="4" t="n">
        <f aca="false">SUMPRODUCT((Matriz_Pixeles!$D$3:$D$102=A99)*(((Matriz_Pixeles!Z$3:Z$102=1)+(Matriz_Pixeles!AA$3:AA$102=1)+(Matriz_Pixeles!AB$3:AB$102=1)+(Matriz_Pixeles!AC$3:AC$102=1)+(Matriz_Pixeles!AD$3:AD$102=1)+(Matriz_Pixeles!AE$3:AE$102=1)+(Matriz_Pixeles!AF$3:AF$102=1))&gt;0))</f>
        <v>3</v>
      </c>
      <c r="H99" s="4" t="n">
        <f aca="false">SUMPRODUCT((Matriz_Pixeles!$D$3:$D$102=A99)*(((Matriz_Pixeles!AG$3:AG$102=1)+(Matriz_Pixeles!AH$3:AH$102=1)+(Matriz_Pixeles!AI$3:AI$102=1)+(Matriz_Pixeles!AJ$3:AJ$102=1)+(Matriz_Pixeles!AK$3:AK$102=1))&gt;0))</f>
        <v>1</v>
      </c>
      <c r="I99" s="4" t="n">
        <f aca="false">SUMIF(Matriz_Pixeles!$D$3:$D$102,A99,Matriz_Pixeles!M$3:M$102)</f>
        <v>4</v>
      </c>
      <c r="J99" s="4" t="n">
        <f aca="false">SUMIF(Matriz_Pixeles!$D$3:$D$102,A99,Matriz_Pixeles!L$3:L$102)</f>
        <v>3</v>
      </c>
    </row>
    <row r="100" customFormat="false" ht="15" hidden="false" customHeight="false" outlineLevel="0" collapsed="false">
      <c r="A100" s="4" t="s">
        <v>127</v>
      </c>
      <c r="B100" s="4" t="n">
        <f aca="false">COUNTIF(Matriz_Pixeles!$D$3:$D$102,A100)</f>
        <v>9</v>
      </c>
      <c r="C100" s="4" t="n">
        <f aca="false">COUNTIFS(Matriz_Pixeles!$D$3:$D$102,A100,Matriz_Pixeles!$F$3:$F$102,"&lt;&gt;BLOQUEADO*")</f>
        <v>5</v>
      </c>
      <c r="D100" s="4" t="n">
        <f aca="false">SUMIF(Matriz_Pixeles!$D$3:$D$102,A100,Matriz_Pixeles!U$3:U$102)</f>
        <v>2</v>
      </c>
      <c r="E100" s="4" t="n">
        <f aca="false">SUMIF(Matriz_Pixeles!$D$3:$D$102,A100,Matriz_Pixeles!T$3:T$102)</f>
        <v>1</v>
      </c>
      <c r="F100" s="4" t="n">
        <f aca="false">SUMPRODUCT((Matriz_Pixeles!$D$3:$D$102=A100)*((Matriz_Pixeles!X$3:X$102=1)+(Matriz_Pixeles!Y$3:Y$102=1)&gt;0))</f>
        <v>1</v>
      </c>
      <c r="G100" s="4" t="n">
        <f aca="false">SUMPRODUCT((Matriz_Pixeles!$D$3:$D$102=A100)*(((Matriz_Pixeles!Z$3:Z$102=1)+(Matriz_Pixeles!AA$3:AA$102=1)+(Matriz_Pixeles!AB$3:AB$102=1)+(Matriz_Pixeles!AC$3:AC$102=1)+(Matriz_Pixeles!AD$3:AD$102=1)+(Matriz_Pixeles!AE$3:AE$102=1)+(Matriz_Pixeles!AF$3:AF$102=1))&gt;0))</f>
        <v>3</v>
      </c>
      <c r="H100" s="4" t="n">
        <f aca="false">SUMPRODUCT((Matriz_Pixeles!$D$3:$D$102=A100)*(((Matriz_Pixeles!AG$3:AG$102=1)+(Matriz_Pixeles!AH$3:AH$102=1)+(Matriz_Pixeles!AI$3:AI$102=1)+(Matriz_Pixeles!AJ$3:AJ$102=1)+(Matriz_Pixeles!AK$3:AK$102=1))&gt;0))</f>
        <v>0</v>
      </c>
      <c r="I100" s="4" t="n">
        <f aca="false">SUMIF(Matriz_Pixeles!$D$3:$D$102,A100,Matriz_Pixeles!M$3:M$102)</f>
        <v>2</v>
      </c>
      <c r="J100" s="4" t="n">
        <f aca="false">SUMIF(Matriz_Pixeles!$D$3:$D$102,A100,Matriz_Pixeles!L$3:L$102)</f>
        <v>4</v>
      </c>
    </row>
    <row r="101" customFormat="false" ht="15" hidden="false" customHeight="false" outlineLevel="0" collapsed="false">
      <c r="A101" s="4" t="s">
        <v>128</v>
      </c>
      <c r="B101" s="4" t="n">
        <f aca="false">COUNTIF(Matriz_Pixeles!$D$3:$D$102,A101)</f>
        <v>4</v>
      </c>
      <c r="C101" s="4" t="n">
        <f aca="false">COUNTIFS(Matriz_Pixeles!$D$3:$D$102,A101,Matriz_Pixeles!$F$3:$F$102,"&lt;&gt;BLOQUEADO*")</f>
        <v>2</v>
      </c>
      <c r="D101" s="4" t="n">
        <f aca="false">SUMIF(Matriz_Pixeles!$D$3:$D$102,A101,Matriz_Pixeles!U$3:U$102)</f>
        <v>0</v>
      </c>
      <c r="E101" s="4" t="n">
        <f aca="false">SUMIF(Matriz_Pixeles!$D$3:$D$102,A101,Matriz_Pixeles!T$3:T$102)</f>
        <v>0</v>
      </c>
      <c r="F101" s="4" t="n">
        <f aca="false">SUMPRODUCT((Matriz_Pixeles!$D$3:$D$102=A101)*((Matriz_Pixeles!X$3:X$102=1)+(Matriz_Pixeles!Y$3:Y$102=1)&gt;0))</f>
        <v>0</v>
      </c>
      <c r="G101" s="4" t="n">
        <f aca="false">SUMPRODUCT((Matriz_Pixeles!$D$3:$D$102=A101)*(((Matriz_Pixeles!Z$3:Z$102=1)+(Matriz_Pixeles!AA$3:AA$102=1)+(Matriz_Pixeles!AB$3:AB$102=1)+(Matriz_Pixeles!AC$3:AC$102=1)+(Matriz_Pixeles!AD$3:AD$102=1)+(Matriz_Pixeles!AE$3:AE$102=1)+(Matriz_Pixeles!AF$3:AF$102=1))&gt;0))</f>
        <v>1</v>
      </c>
      <c r="H101" s="4" t="n">
        <f aca="false">SUMPRODUCT((Matriz_Pixeles!$D$3:$D$102=A101)*(((Matriz_Pixeles!AG$3:AG$102=1)+(Matriz_Pixeles!AH$3:AH$102=1)+(Matriz_Pixeles!AI$3:AI$102=1)+(Matriz_Pixeles!AJ$3:AJ$102=1)+(Matriz_Pixeles!AK$3:AK$102=1))&gt;0))</f>
        <v>0</v>
      </c>
      <c r="I101" s="4" t="n">
        <f aca="false">SUMIF(Matriz_Pixeles!$D$3:$D$102,A101,Matriz_Pixeles!M$3:M$102)</f>
        <v>1</v>
      </c>
      <c r="J101" s="4" t="n">
        <f aca="false">SUMIF(Matriz_Pixeles!$D$3:$D$102,A101,Matriz_Pixeles!L$3:L$102)</f>
        <v>1</v>
      </c>
    </row>
    <row r="102" customFormat="false" ht="15" hidden="false" customHeight="false" outlineLevel="0" collapsed="false">
      <c r="A102" s="4" t="s">
        <v>129</v>
      </c>
      <c r="B102" s="4" t="n">
        <f aca="false">COUNTIF(Matriz_Pixeles!$D$3:$D$102,A102)</f>
        <v>3</v>
      </c>
      <c r="C102" s="4" t="n">
        <f aca="false">COUNTIFS(Matriz_Pixeles!$D$3:$D$102,A102,Matriz_Pixeles!$F$3:$F$102,"&lt;&gt;BLOQUEADO*")</f>
        <v>2</v>
      </c>
      <c r="D102" s="4" t="n">
        <f aca="false">SUMIF(Matriz_Pixeles!$D$3:$D$102,A102,Matriz_Pixeles!U$3:U$102)</f>
        <v>1</v>
      </c>
      <c r="E102" s="4" t="n">
        <f aca="false">SUMIF(Matriz_Pixeles!$D$3:$D$102,A102,Matriz_Pixeles!T$3:T$102)</f>
        <v>0</v>
      </c>
      <c r="F102" s="4" t="n">
        <f aca="false">SUMPRODUCT((Matriz_Pixeles!$D$3:$D$102=A102)*((Matriz_Pixeles!X$3:X$102=1)+(Matriz_Pixeles!Y$3:Y$102=1)&gt;0))</f>
        <v>0</v>
      </c>
      <c r="G102" s="4" t="n">
        <f aca="false">SUMPRODUCT((Matriz_Pixeles!$D$3:$D$102=A102)*(((Matriz_Pixeles!Z$3:Z$102=1)+(Matriz_Pixeles!AA$3:AA$102=1)+(Matriz_Pixeles!AB$3:AB$102=1)+(Matriz_Pixeles!AC$3:AC$102=1)+(Matriz_Pixeles!AD$3:AD$102=1)+(Matriz_Pixeles!AE$3:AE$102=1)+(Matriz_Pixeles!AF$3:AF$102=1))&gt;0))</f>
        <v>0</v>
      </c>
      <c r="H102" s="4" t="n">
        <f aca="false">SUMPRODUCT((Matriz_Pixeles!$D$3:$D$102=A102)*(((Matriz_Pixeles!AG$3:AG$102=1)+(Matriz_Pixeles!AH$3:AH$102=1)+(Matriz_Pixeles!AI$3:AI$102=1)+(Matriz_Pixeles!AJ$3:AJ$102=1)+(Matriz_Pixeles!AK$3:AK$102=1))&gt;0))</f>
        <v>0</v>
      </c>
      <c r="I102" s="4" t="n">
        <f aca="false">SUMIF(Matriz_Pixeles!$D$3:$D$102,A102,Matriz_Pixeles!M$3:M$102)</f>
        <v>1</v>
      </c>
      <c r="J102" s="4" t="n">
        <f aca="false">SUMIF(Matriz_Pixeles!$D$3:$D$102,A102,Matriz_Pixeles!L$3:L$102)</f>
        <v>2</v>
      </c>
    </row>
    <row r="103" customFormat="false" ht="15" hidden="false" customHeight="false" outlineLevel="0" collapsed="false">
      <c r="A103" s="4" t="s">
        <v>130</v>
      </c>
      <c r="B103" s="4" t="n">
        <f aca="false">COUNTIF(Matriz_Pixeles!$D$3:$D$102,A103)</f>
        <v>8</v>
      </c>
      <c r="C103" s="4" t="n">
        <f aca="false">COUNTIFS(Matriz_Pixeles!$D$3:$D$102,A103,Matriz_Pixeles!$F$3:$F$102,"&lt;&gt;BLOQUEADO*")</f>
        <v>8</v>
      </c>
      <c r="D103" s="4" t="n">
        <f aca="false">SUMIF(Matriz_Pixeles!$D$3:$D$102,A103,Matriz_Pixeles!U$3:U$102)</f>
        <v>1</v>
      </c>
      <c r="E103" s="4" t="n">
        <f aca="false">SUMIF(Matriz_Pixeles!$D$3:$D$102,A103,Matriz_Pixeles!T$3:T$102)</f>
        <v>0</v>
      </c>
      <c r="F103" s="4" t="n">
        <f aca="false">SUMPRODUCT((Matriz_Pixeles!$D$3:$D$102=A103)*((Matriz_Pixeles!X$3:X$102=1)+(Matriz_Pixeles!Y$3:Y$102=1)&gt;0))</f>
        <v>0</v>
      </c>
      <c r="G103" s="4" t="n">
        <f aca="false">SUMPRODUCT((Matriz_Pixeles!$D$3:$D$102=A103)*(((Matriz_Pixeles!Z$3:Z$102=1)+(Matriz_Pixeles!AA$3:AA$102=1)+(Matriz_Pixeles!AB$3:AB$102=1)+(Matriz_Pixeles!AC$3:AC$102=1)+(Matriz_Pixeles!AD$3:AD$102=1)+(Matriz_Pixeles!AE$3:AE$102=1)+(Matriz_Pixeles!AF$3:AF$102=1))&gt;0))</f>
        <v>3</v>
      </c>
      <c r="H103" s="4" t="n">
        <f aca="false">SUMPRODUCT((Matriz_Pixeles!$D$3:$D$102=A103)*(((Matriz_Pixeles!AG$3:AG$102=1)+(Matriz_Pixeles!AH$3:AH$102=1)+(Matriz_Pixeles!AI$3:AI$102=1)+(Matriz_Pixeles!AJ$3:AJ$102=1)+(Matriz_Pixeles!AK$3:AK$102=1))&gt;0))</f>
        <v>1</v>
      </c>
      <c r="I103" s="4" t="n">
        <f aca="false">SUMIF(Matriz_Pixeles!$D$3:$D$102,A103,Matriz_Pixeles!M$3:M$102)</f>
        <v>6</v>
      </c>
      <c r="J103" s="4" t="n">
        <f aca="false">SUMIF(Matriz_Pixeles!$D$3:$D$102,A103,Matriz_Pixeles!L$3:L$102)</f>
        <v>8</v>
      </c>
    </row>
    <row r="104" customFormat="false" ht="15" hidden="false" customHeight="false" outlineLevel="0" collapsed="false">
      <c r="A104" s="4" t="s">
        <v>131</v>
      </c>
      <c r="B104" s="4" t="n">
        <f aca="false">COUNTIF(Matriz_Pixeles!$D$3:$D$102,A104)</f>
        <v>4</v>
      </c>
      <c r="C104" s="4" t="n">
        <f aca="false">COUNTIFS(Matriz_Pixeles!$D$3:$D$102,A104,Matriz_Pixeles!$F$3:$F$102,"&lt;&gt;BLOQUEADO*")</f>
        <v>4</v>
      </c>
      <c r="D104" s="4" t="n">
        <f aca="false">SUMIF(Matriz_Pixeles!$D$3:$D$102,A104,Matriz_Pixeles!U$3:U$102)</f>
        <v>1</v>
      </c>
      <c r="E104" s="4" t="n">
        <f aca="false">SUMIF(Matriz_Pixeles!$D$3:$D$102,A104,Matriz_Pixeles!T$3:T$102)</f>
        <v>2</v>
      </c>
      <c r="F104" s="4" t="n">
        <f aca="false">SUMPRODUCT((Matriz_Pixeles!$D$3:$D$102=A104)*((Matriz_Pixeles!X$3:X$102=1)+(Matriz_Pixeles!Y$3:Y$102=1)&gt;0))</f>
        <v>1</v>
      </c>
      <c r="G104" s="4" t="n">
        <f aca="false">SUMPRODUCT((Matriz_Pixeles!$D$3:$D$102=A104)*(((Matriz_Pixeles!Z$3:Z$102=1)+(Matriz_Pixeles!AA$3:AA$102=1)+(Matriz_Pixeles!AB$3:AB$102=1)+(Matriz_Pixeles!AC$3:AC$102=1)+(Matriz_Pixeles!AD$3:AD$102=1)+(Matriz_Pixeles!AE$3:AE$102=1)+(Matriz_Pixeles!AF$3:AF$102=1))&gt;0))</f>
        <v>2</v>
      </c>
      <c r="H104" s="4" t="n">
        <f aca="false">SUMPRODUCT((Matriz_Pixeles!$D$3:$D$102=A104)*(((Matriz_Pixeles!AG$3:AG$102=1)+(Matriz_Pixeles!AH$3:AH$102=1)+(Matriz_Pixeles!AI$3:AI$102=1)+(Matriz_Pixeles!AJ$3:AJ$102=1)+(Matriz_Pixeles!AK$3:AK$102=1))&gt;0))</f>
        <v>3</v>
      </c>
      <c r="I104" s="4" t="n">
        <f aca="false">SUMIF(Matriz_Pixeles!$D$3:$D$102,A104,Matriz_Pixeles!M$3:M$102)</f>
        <v>3</v>
      </c>
      <c r="J104" s="4" t="n">
        <f aca="false">SUMIF(Matriz_Pixeles!$D$3:$D$102,A104,Matriz_Pixeles!L$3:L$102)</f>
        <v>3</v>
      </c>
    </row>
    <row r="105" customFormat="false" ht="15" hidden="false" customHeight="false" outlineLevel="0" collapsed="false">
      <c r="A105" s="4" t="s">
        <v>132</v>
      </c>
      <c r="B105" s="4" t="n">
        <f aca="false">COUNTIF(Matriz_Pixeles!$D$3:$D$102,A105)</f>
        <v>2</v>
      </c>
      <c r="C105" s="4" t="n">
        <f aca="false">COUNTIFS(Matriz_Pixeles!$D$3:$D$102,A105,Matriz_Pixeles!$F$3:$F$102,"&lt;&gt;BLOQUEADO*")</f>
        <v>2</v>
      </c>
      <c r="D105" s="4" t="n">
        <f aca="false">SUMIF(Matriz_Pixeles!$D$3:$D$102,A105,Matriz_Pixeles!U$3:U$102)</f>
        <v>1</v>
      </c>
      <c r="E105" s="4" t="n">
        <f aca="false">SUMIF(Matriz_Pixeles!$D$3:$D$102,A105,Matriz_Pixeles!T$3:T$102)</f>
        <v>0</v>
      </c>
      <c r="F105" s="4" t="n">
        <f aca="false">SUMPRODUCT((Matriz_Pixeles!$D$3:$D$102=A105)*((Matriz_Pixeles!X$3:X$102=1)+(Matriz_Pixeles!Y$3:Y$102=1)&gt;0))</f>
        <v>0</v>
      </c>
      <c r="G105" s="4" t="n">
        <f aca="false">SUMPRODUCT((Matriz_Pixeles!$D$3:$D$102=A105)*(((Matriz_Pixeles!Z$3:Z$102=1)+(Matriz_Pixeles!AA$3:AA$102=1)+(Matriz_Pixeles!AB$3:AB$102=1)+(Matriz_Pixeles!AC$3:AC$102=1)+(Matriz_Pixeles!AD$3:AD$102=1)+(Matriz_Pixeles!AE$3:AE$102=1)+(Matriz_Pixeles!AF$3:AF$102=1))&gt;0))</f>
        <v>0</v>
      </c>
      <c r="H105" s="4" t="n">
        <f aca="false">SUMPRODUCT((Matriz_Pixeles!$D$3:$D$102=A105)*(((Matriz_Pixeles!AG$3:AG$102=1)+(Matriz_Pixeles!AH$3:AH$102=1)+(Matriz_Pixeles!AI$3:AI$102=1)+(Matriz_Pixeles!AJ$3:AJ$102=1)+(Matriz_Pixeles!AK$3:AK$102=1))&gt;0))</f>
        <v>0</v>
      </c>
      <c r="I105" s="4" t="n">
        <f aca="false">SUMIF(Matriz_Pixeles!$D$3:$D$102,A105,Matriz_Pixeles!M$3:M$102)</f>
        <v>2</v>
      </c>
      <c r="J105" s="4" t="n">
        <f aca="false">SUMIF(Matriz_Pixeles!$D$3:$D$102,A105,Matriz_Pixeles!L$3:L$102)</f>
        <v>2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88" min="11" style="0" width="3.2"/>
  </cols>
  <sheetData>
    <row r="1" customFormat="false" ht="79.5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 t="s">
        <v>10</v>
      </c>
      <c r="L1" s="7" t="s">
        <v>10</v>
      </c>
      <c r="M1" s="7" t="s">
        <v>10</v>
      </c>
      <c r="N1" s="7" t="s">
        <v>10</v>
      </c>
      <c r="O1" s="7" t="s">
        <v>10</v>
      </c>
      <c r="P1" s="7" t="s">
        <v>10</v>
      </c>
      <c r="Q1" s="7" t="s">
        <v>10</v>
      </c>
      <c r="R1" s="7" t="s">
        <v>10</v>
      </c>
      <c r="S1" s="7" t="s">
        <v>10</v>
      </c>
      <c r="T1" s="7" t="s">
        <v>20</v>
      </c>
      <c r="U1" s="7" t="s">
        <v>20</v>
      </c>
      <c r="V1" s="7" t="s">
        <v>20</v>
      </c>
      <c r="W1" s="7" t="s">
        <v>20</v>
      </c>
      <c r="X1" s="7" t="s">
        <v>25</v>
      </c>
      <c r="Y1" s="7" t="s">
        <v>25</v>
      </c>
      <c r="Z1" s="7" t="s">
        <v>28</v>
      </c>
      <c r="AA1" s="7" t="s">
        <v>28</v>
      </c>
      <c r="AB1" s="7" t="s">
        <v>28</v>
      </c>
      <c r="AC1" s="7" t="s">
        <v>28</v>
      </c>
      <c r="AD1" s="7" t="s">
        <v>28</v>
      </c>
      <c r="AE1" s="7" t="s">
        <v>28</v>
      </c>
      <c r="AF1" s="7" t="s">
        <v>28</v>
      </c>
      <c r="AG1" s="7" t="s">
        <v>36</v>
      </c>
      <c r="AH1" s="7" t="s">
        <v>36</v>
      </c>
      <c r="AI1" s="7" t="s">
        <v>36</v>
      </c>
      <c r="AJ1" s="7" t="s">
        <v>36</v>
      </c>
      <c r="AK1" s="7" t="s">
        <v>36</v>
      </c>
      <c r="AL1" s="7" t="s">
        <v>42</v>
      </c>
      <c r="AM1" s="7" t="s">
        <v>44</v>
      </c>
      <c r="AN1" s="7" t="s">
        <v>44</v>
      </c>
      <c r="AO1" s="7" t="s">
        <v>44</v>
      </c>
      <c r="AP1" s="7" t="s">
        <v>44</v>
      </c>
      <c r="AQ1" s="7" t="s">
        <v>44</v>
      </c>
      <c r="AR1" s="7" t="s">
        <v>44</v>
      </c>
      <c r="AS1" s="7" t="s">
        <v>44</v>
      </c>
      <c r="AT1" s="7" t="s">
        <v>44</v>
      </c>
      <c r="AU1" s="7" t="s">
        <v>53</v>
      </c>
      <c r="AV1" s="7" t="s">
        <v>55</v>
      </c>
      <c r="AW1" s="7" t="s">
        <v>57</v>
      </c>
      <c r="AX1" s="7" t="s">
        <v>57</v>
      </c>
      <c r="AY1" s="7" t="s">
        <v>57</v>
      </c>
      <c r="AZ1" s="7" t="s">
        <v>57</v>
      </c>
      <c r="BA1" s="7" t="s">
        <v>57</v>
      </c>
      <c r="BB1" s="7" t="s">
        <v>63</v>
      </c>
      <c r="BC1" s="7" t="s">
        <v>63</v>
      </c>
      <c r="BD1" s="7" t="s">
        <v>66</v>
      </c>
      <c r="BE1" s="7" t="s">
        <v>66</v>
      </c>
      <c r="BF1" s="7" t="s">
        <v>69</v>
      </c>
      <c r="BG1" s="7" t="s">
        <v>69</v>
      </c>
      <c r="BH1" s="7" t="s">
        <v>72</v>
      </c>
      <c r="BI1" s="7" t="s">
        <v>74</v>
      </c>
      <c r="BJ1" s="7" t="s">
        <v>74</v>
      </c>
      <c r="BK1" s="7" t="s">
        <v>74</v>
      </c>
      <c r="BL1" s="7" t="s">
        <v>74</v>
      </c>
      <c r="BM1" s="7" t="s">
        <v>79</v>
      </c>
      <c r="BN1" s="7" t="s">
        <v>79</v>
      </c>
      <c r="BO1" s="7" t="s">
        <v>79</v>
      </c>
      <c r="BP1" s="7" t="s">
        <v>79</v>
      </c>
      <c r="BQ1" s="7" t="s">
        <v>79</v>
      </c>
      <c r="BR1" s="7" t="s">
        <v>79</v>
      </c>
      <c r="BS1" s="7" t="s">
        <v>79</v>
      </c>
      <c r="BT1" s="7" t="s">
        <v>79</v>
      </c>
      <c r="BU1" s="7" t="s">
        <v>79</v>
      </c>
      <c r="BV1" s="7" t="s">
        <v>79</v>
      </c>
      <c r="BW1" s="7" t="s">
        <v>90</v>
      </c>
      <c r="BX1" s="7" t="s">
        <v>90</v>
      </c>
      <c r="BY1" s="7" t="s">
        <v>93</v>
      </c>
      <c r="BZ1" s="7" t="s">
        <v>95</v>
      </c>
      <c r="CA1" s="7" t="s">
        <v>95</v>
      </c>
      <c r="CB1" s="7" t="s">
        <v>98</v>
      </c>
      <c r="CC1" s="7" t="s">
        <v>98</v>
      </c>
      <c r="CD1" s="7" t="s">
        <v>101</v>
      </c>
      <c r="CE1" s="7" t="s">
        <v>101</v>
      </c>
      <c r="CF1" s="7" t="s">
        <v>101</v>
      </c>
      <c r="CG1" s="7" t="s">
        <v>101</v>
      </c>
      <c r="CH1" s="7" t="s">
        <v>101</v>
      </c>
      <c r="CI1" s="7" t="s">
        <v>107</v>
      </c>
      <c r="CJ1" s="7" t="s">
        <v>107</v>
      </c>
    </row>
    <row r="2" customFormat="false" ht="120" hidden="false" customHeight="true" outlineLevel="0" collapsed="false">
      <c r="A2" s="8" t="s">
        <v>133</v>
      </c>
      <c r="B2" s="8" t="s">
        <v>134</v>
      </c>
      <c r="C2" s="8" t="s">
        <v>135</v>
      </c>
      <c r="D2" s="8" t="s">
        <v>6</v>
      </c>
      <c r="E2" s="8" t="s">
        <v>136</v>
      </c>
      <c r="F2" s="8" t="s">
        <v>137</v>
      </c>
      <c r="G2" s="8" t="s">
        <v>138</v>
      </c>
      <c r="H2" s="8" t="s">
        <v>139</v>
      </c>
      <c r="I2" s="8" t="s">
        <v>140</v>
      </c>
      <c r="J2" s="8" t="s">
        <v>141</v>
      </c>
      <c r="K2" s="9" t="s">
        <v>9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26</v>
      </c>
      <c r="Z2" s="9" t="s">
        <v>27</v>
      </c>
      <c r="AA2" s="9" t="s">
        <v>29</v>
      </c>
      <c r="AB2" s="9" t="s">
        <v>30</v>
      </c>
      <c r="AC2" s="9" t="s">
        <v>31</v>
      </c>
      <c r="AD2" s="9" t="s">
        <v>32</v>
      </c>
      <c r="AE2" s="9" t="s">
        <v>33</v>
      </c>
      <c r="AF2" s="9" t="s">
        <v>34</v>
      </c>
      <c r="AG2" s="9" t="s">
        <v>35</v>
      </c>
      <c r="AH2" s="9" t="s">
        <v>37</v>
      </c>
      <c r="AI2" s="9" t="s">
        <v>38</v>
      </c>
      <c r="AJ2" s="9" t="s">
        <v>39</v>
      </c>
      <c r="AK2" s="9" t="s">
        <v>40</v>
      </c>
      <c r="AL2" s="9" t="s">
        <v>41</v>
      </c>
      <c r="AM2" s="9" t="s">
        <v>43</v>
      </c>
      <c r="AN2" s="9" t="s">
        <v>45</v>
      </c>
      <c r="AO2" s="9" t="s">
        <v>46</v>
      </c>
      <c r="AP2" s="9" t="s">
        <v>47</v>
      </c>
      <c r="AQ2" s="9" t="s">
        <v>48</v>
      </c>
      <c r="AR2" s="9" t="s">
        <v>49</v>
      </c>
      <c r="AS2" s="9" t="s">
        <v>50</v>
      </c>
      <c r="AT2" s="9" t="s">
        <v>51</v>
      </c>
      <c r="AU2" s="9" t="s">
        <v>52</v>
      </c>
      <c r="AV2" s="9" t="s">
        <v>54</v>
      </c>
      <c r="AW2" s="9" t="s">
        <v>56</v>
      </c>
      <c r="AX2" s="9" t="s">
        <v>58</v>
      </c>
      <c r="AY2" s="9" t="s">
        <v>59</v>
      </c>
      <c r="AZ2" s="9" t="s">
        <v>60</v>
      </c>
      <c r="BA2" s="9" t="s">
        <v>61</v>
      </c>
      <c r="BB2" s="9" t="s">
        <v>62</v>
      </c>
      <c r="BC2" s="9" t="s">
        <v>64</v>
      </c>
      <c r="BD2" s="9" t="s">
        <v>65</v>
      </c>
      <c r="BE2" s="9" t="s">
        <v>67</v>
      </c>
      <c r="BF2" s="9" t="s">
        <v>68</v>
      </c>
      <c r="BG2" s="9" t="s">
        <v>70</v>
      </c>
      <c r="BH2" s="9" t="s">
        <v>71</v>
      </c>
      <c r="BI2" s="9" t="s">
        <v>73</v>
      </c>
      <c r="BJ2" s="9" t="s">
        <v>75</v>
      </c>
      <c r="BK2" s="9" t="s">
        <v>76</v>
      </c>
      <c r="BL2" s="9" t="s">
        <v>77</v>
      </c>
      <c r="BM2" s="9" t="s">
        <v>78</v>
      </c>
      <c r="BN2" s="9" t="s">
        <v>80</v>
      </c>
      <c r="BO2" s="9" t="s">
        <v>81</v>
      </c>
      <c r="BP2" s="9" t="s">
        <v>82</v>
      </c>
      <c r="BQ2" s="9" t="s">
        <v>83</v>
      </c>
      <c r="BR2" s="9" t="s">
        <v>84</v>
      </c>
      <c r="BS2" s="9" t="s">
        <v>85</v>
      </c>
      <c r="BT2" s="9" t="s">
        <v>86</v>
      </c>
      <c r="BU2" s="9" t="s">
        <v>87</v>
      </c>
      <c r="BV2" s="9" t="s">
        <v>88</v>
      </c>
      <c r="BW2" s="9" t="s">
        <v>89</v>
      </c>
      <c r="BX2" s="9" t="s">
        <v>91</v>
      </c>
      <c r="BY2" s="9" t="s">
        <v>92</v>
      </c>
      <c r="BZ2" s="9" t="s">
        <v>94</v>
      </c>
      <c r="CA2" s="9" t="s">
        <v>96</v>
      </c>
      <c r="CB2" s="9" t="s">
        <v>97</v>
      </c>
      <c r="CC2" s="9" t="s">
        <v>99</v>
      </c>
      <c r="CD2" s="9" t="s">
        <v>100</v>
      </c>
      <c r="CE2" s="9" t="s">
        <v>102</v>
      </c>
      <c r="CF2" s="9" t="s">
        <v>103</v>
      </c>
      <c r="CG2" s="9" t="s">
        <v>104</v>
      </c>
      <c r="CH2" s="9" t="s">
        <v>105</v>
      </c>
      <c r="CI2" s="9" t="s">
        <v>106</v>
      </c>
      <c r="CJ2" s="9" t="s">
        <v>108</v>
      </c>
    </row>
    <row r="3" customFormat="false" ht="15" hidden="false" customHeight="false" outlineLevel="0" collapsed="false">
      <c r="A3" s="10" t="n">
        <v>1</v>
      </c>
      <c r="B3" s="10" t="s">
        <v>142</v>
      </c>
      <c r="C3" s="10" t="s">
        <v>143</v>
      </c>
      <c r="D3" s="10" t="s">
        <v>117</v>
      </c>
      <c r="E3" s="10" t="s">
        <v>144</v>
      </c>
      <c r="F3" s="10" t="s">
        <v>145</v>
      </c>
      <c r="G3" s="10" t="s">
        <v>146</v>
      </c>
      <c r="H3" s="10" t="n">
        <v>3</v>
      </c>
      <c r="I3" s="10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2" t="n">
        <v>1</v>
      </c>
      <c r="BG3" s="10"/>
      <c r="BH3" s="10"/>
      <c r="BI3" s="12" t="n">
        <v>1</v>
      </c>
      <c r="BJ3" s="10"/>
      <c r="BK3" s="12" t="n">
        <v>1</v>
      </c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</row>
    <row r="4" customFormat="false" ht="15" hidden="false" customHeight="false" outlineLevel="0" collapsed="false">
      <c r="A4" s="10" t="n">
        <v>2</v>
      </c>
      <c r="B4" s="10" t="s">
        <v>147</v>
      </c>
      <c r="C4" s="10" t="s">
        <v>148</v>
      </c>
      <c r="D4" s="10" t="s">
        <v>117</v>
      </c>
      <c r="E4" s="10" t="s">
        <v>144</v>
      </c>
      <c r="F4" s="10" t="s">
        <v>149</v>
      </c>
      <c r="G4" s="10" t="s">
        <v>150</v>
      </c>
      <c r="H4" s="10" t="n">
        <v>1</v>
      </c>
      <c r="I4" s="10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2" t="n">
        <v>1</v>
      </c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</row>
    <row r="5" customFormat="false" ht="15" hidden="false" customHeight="false" outlineLevel="0" collapsed="false">
      <c r="A5" s="10" t="n">
        <v>3</v>
      </c>
      <c r="B5" s="10" t="s">
        <v>151</v>
      </c>
      <c r="C5" s="10" t="s">
        <v>152</v>
      </c>
      <c r="D5" s="10" t="s">
        <v>117</v>
      </c>
      <c r="E5" s="10" t="s">
        <v>153</v>
      </c>
      <c r="F5" s="10" t="s">
        <v>145</v>
      </c>
      <c r="G5" s="10" t="s">
        <v>150</v>
      </c>
      <c r="H5" s="10" t="n">
        <v>3</v>
      </c>
      <c r="I5" s="10"/>
      <c r="J5" s="11" t="s">
        <v>154</v>
      </c>
      <c r="K5" s="12" t="n">
        <v>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2" t="n">
        <v>1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2" t="n">
        <v>1</v>
      </c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</row>
    <row r="6" customFormat="false" ht="15" hidden="false" customHeight="false" outlineLevel="0" collapsed="false">
      <c r="A6" s="13" t="n">
        <v>4</v>
      </c>
      <c r="B6" s="13" t="s">
        <v>155</v>
      </c>
      <c r="C6" s="13" t="s">
        <v>156</v>
      </c>
      <c r="D6" s="13" t="s">
        <v>117</v>
      </c>
      <c r="E6" s="13" t="s">
        <v>153</v>
      </c>
      <c r="F6" s="13" t="s">
        <v>157</v>
      </c>
      <c r="G6" s="13"/>
      <c r="H6" s="13" t="n">
        <v>0</v>
      </c>
      <c r="I6" s="13"/>
      <c r="J6" s="1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customFormat="false" ht="15" hidden="false" customHeight="false" outlineLevel="0" collapsed="false">
      <c r="A7" s="10" t="n">
        <v>5</v>
      </c>
      <c r="B7" s="10" t="s">
        <v>158</v>
      </c>
      <c r="C7" s="10" t="s">
        <v>159</v>
      </c>
      <c r="D7" s="10" t="s">
        <v>117</v>
      </c>
      <c r="E7" s="10" t="s">
        <v>153</v>
      </c>
      <c r="F7" s="10" t="s">
        <v>145</v>
      </c>
      <c r="G7" s="10" t="s">
        <v>150</v>
      </c>
      <c r="H7" s="10" t="n">
        <v>7</v>
      </c>
      <c r="I7" s="10"/>
      <c r="J7" s="11" t="s">
        <v>160</v>
      </c>
      <c r="K7" s="12" t="n">
        <v>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2" t="n">
        <v>1</v>
      </c>
      <c r="AA7" s="10"/>
      <c r="AB7" s="10"/>
      <c r="AC7" s="10"/>
      <c r="AD7" s="12" t="n">
        <v>1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2" t="n">
        <v>1</v>
      </c>
      <c r="BG7" s="10"/>
      <c r="BH7" s="10"/>
      <c r="BI7" s="10"/>
      <c r="BJ7" s="10"/>
      <c r="BK7" s="10"/>
      <c r="BL7" s="10"/>
      <c r="BM7" s="10"/>
      <c r="BN7" s="12" t="n">
        <v>1</v>
      </c>
      <c r="BO7" s="10"/>
      <c r="BP7" s="10"/>
      <c r="BQ7" s="10"/>
      <c r="BR7" s="10"/>
      <c r="BS7" s="10"/>
      <c r="BT7" s="12" t="n">
        <v>1</v>
      </c>
      <c r="BU7" s="10"/>
      <c r="BV7" s="10"/>
      <c r="BW7" s="10"/>
      <c r="BX7" s="10"/>
      <c r="BY7" s="10"/>
      <c r="BZ7" s="10"/>
      <c r="CA7" s="10"/>
      <c r="CB7" s="12" t="n">
        <v>1</v>
      </c>
      <c r="CC7" s="10"/>
      <c r="CD7" s="10"/>
      <c r="CE7" s="10"/>
      <c r="CF7" s="10"/>
      <c r="CG7" s="10"/>
      <c r="CH7" s="10"/>
      <c r="CI7" s="10"/>
      <c r="CJ7" s="10"/>
    </row>
    <row r="8" customFormat="false" ht="32.8" hidden="false" customHeight="false" outlineLevel="0" collapsed="false">
      <c r="A8" s="10" t="n">
        <v>6</v>
      </c>
      <c r="B8" s="10" t="s">
        <v>161</v>
      </c>
      <c r="C8" s="10" t="s">
        <v>162</v>
      </c>
      <c r="D8" s="10" t="s">
        <v>117</v>
      </c>
      <c r="E8" s="10" t="s">
        <v>153</v>
      </c>
      <c r="F8" s="10" t="s">
        <v>145</v>
      </c>
      <c r="G8" s="10" t="s">
        <v>146</v>
      </c>
      <c r="H8" s="10" t="n">
        <v>16</v>
      </c>
      <c r="I8" s="10" t="s">
        <v>163</v>
      </c>
      <c r="J8" s="11" t="s">
        <v>164</v>
      </c>
      <c r="K8" s="12" t="n">
        <v>1</v>
      </c>
      <c r="L8" s="12" t="n">
        <v>1</v>
      </c>
      <c r="M8" s="12" t="n">
        <v>1</v>
      </c>
      <c r="N8" s="10"/>
      <c r="O8" s="10"/>
      <c r="P8" s="10"/>
      <c r="Q8" s="10"/>
      <c r="R8" s="10"/>
      <c r="S8" s="10"/>
      <c r="T8" s="10"/>
      <c r="U8" s="12" t="n">
        <v>1</v>
      </c>
      <c r="V8" s="10"/>
      <c r="W8" s="10"/>
      <c r="X8" s="12" t="n">
        <v>1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2" t="n">
        <v>1</v>
      </c>
      <c r="AL8" s="12" t="n">
        <v>1</v>
      </c>
      <c r="AM8" s="10"/>
      <c r="AN8" s="12" t="n">
        <v>1</v>
      </c>
      <c r="AO8" s="10"/>
      <c r="AP8" s="10"/>
      <c r="AQ8" s="10"/>
      <c r="AR8" s="12" t="n">
        <v>1</v>
      </c>
      <c r="AS8" s="10"/>
      <c r="AT8" s="10"/>
      <c r="AU8" s="10"/>
      <c r="AV8" s="10"/>
      <c r="AW8" s="10"/>
      <c r="AX8" s="10"/>
      <c r="AY8" s="10"/>
      <c r="AZ8" s="12" t="n">
        <v>1</v>
      </c>
      <c r="BA8" s="10"/>
      <c r="BB8" s="10"/>
      <c r="BC8" s="10"/>
      <c r="BD8" s="12" t="n">
        <v>1</v>
      </c>
      <c r="BE8" s="10"/>
      <c r="BF8" s="12" t="n">
        <v>1</v>
      </c>
      <c r="BG8" s="10"/>
      <c r="BH8" s="10"/>
      <c r="BI8" s="12" t="n">
        <v>1</v>
      </c>
      <c r="BJ8" s="10"/>
      <c r="BK8" s="10"/>
      <c r="BL8" s="10"/>
      <c r="BM8" s="10"/>
      <c r="BN8" s="12" t="n">
        <v>1</v>
      </c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2" t="n">
        <v>1</v>
      </c>
      <c r="BZ8" s="10"/>
      <c r="CA8" s="12" t="n">
        <v>1</v>
      </c>
      <c r="CB8" s="10"/>
      <c r="CC8" s="10"/>
      <c r="CD8" s="10"/>
      <c r="CE8" s="10"/>
      <c r="CF8" s="10"/>
      <c r="CG8" s="10"/>
      <c r="CH8" s="10"/>
      <c r="CI8" s="10"/>
      <c r="CJ8" s="10"/>
    </row>
    <row r="9" customFormat="false" ht="22.35" hidden="false" customHeight="false" outlineLevel="0" collapsed="false">
      <c r="A9" s="10" t="n">
        <v>7</v>
      </c>
      <c r="B9" s="10" t="s">
        <v>165</v>
      </c>
      <c r="C9" s="10" t="s">
        <v>166</v>
      </c>
      <c r="D9" s="10" t="s">
        <v>118</v>
      </c>
      <c r="E9" s="10" t="s">
        <v>144</v>
      </c>
      <c r="F9" s="10" t="s">
        <v>167</v>
      </c>
      <c r="G9" s="10" t="s">
        <v>150</v>
      </c>
      <c r="H9" s="10" t="n">
        <v>10</v>
      </c>
      <c r="I9" s="10" t="s">
        <v>168</v>
      </c>
      <c r="J9" s="11" t="s">
        <v>169</v>
      </c>
      <c r="K9" s="12" t="n">
        <v>1</v>
      </c>
      <c r="L9" s="10"/>
      <c r="M9" s="12" t="n">
        <v>1</v>
      </c>
      <c r="N9" s="10"/>
      <c r="O9" s="10"/>
      <c r="P9" s="10"/>
      <c r="Q9" s="10"/>
      <c r="R9" s="12" t="n">
        <v>1</v>
      </c>
      <c r="S9" s="10"/>
      <c r="T9" s="10"/>
      <c r="U9" s="12" t="n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2" t="n">
        <v>1</v>
      </c>
      <c r="AH9" s="10"/>
      <c r="AI9" s="10"/>
      <c r="AJ9" s="10"/>
      <c r="AK9" s="10"/>
      <c r="AL9" s="12" t="n">
        <v>1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2" t="n">
        <v>1</v>
      </c>
      <c r="BE9" s="10"/>
      <c r="BF9" s="12" t="n">
        <v>1</v>
      </c>
      <c r="BG9" s="10"/>
      <c r="BH9" s="10"/>
      <c r="BI9" s="10"/>
      <c r="BJ9" s="10"/>
      <c r="BK9" s="10"/>
      <c r="BL9" s="10"/>
      <c r="BM9" s="10"/>
      <c r="BN9" s="10"/>
      <c r="BO9" s="12" t="n">
        <v>1</v>
      </c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2" t="n">
        <v>1</v>
      </c>
      <c r="CA9" s="10"/>
      <c r="CB9" s="10"/>
      <c r="CC9" s="10"/>
      <c r="CD9" s="10"/>
      <c r="CE9" s="10"/>
      <c r="CF9" s="10"/>
      <c r="CG9" s="10"/>
      <c r="CH9" s="10"/>
      <c r="CI9" s="10"/>
      <c r="CJ9" s="10"/>
    </row>
    <row r="10" customFormat="false" ht="22.35" hidden="false" customHeight="false" outlineLevel="0" collapsed="false">
      <c r="A10" s="10" t="n">
        <v>8</v>
      </c>
      <c r="B10" s="10" t="s">
        <v>170</v>
      </c>
      <c r="C10" s="10" t="s">
        <v>171</v>
      </c>
      <c r="D10" s="10" t="s">
        <v>118</v>
      </c>
      <c r="E10" s="10" t="s">
        <v>153</v>
      </c>
      <c r="F10" s="10" t="s">
        <v>145</v>
      </c>
      <c r="G10" s="10" t="s">
        <v>146</v>
      </c>
      <c r="H10" s="10" t="n">
        <v>12</v>
      </c>
      <c r="I10" s="10" t="s">
        <v>172</v>
      </c>
      <c r="J10" s="11" t="s">
        <v>169</v>
      </c>
      <c r="K10" s="12" t="n">
        <v>1</v>
      </c>
      <c r="L10" s="12" t="n">
        <v>1</v>
      </c>
      <c r="M10" s="12" t="n">
        <v>1</v>
      </c>
      <c r="N10" s="12" t="n">
        <v>1</v>
      </c>
      <c r="O10" s="10"/>
      <c r="P10" s="10"/>
      <c r="Q10" s="10"/>
      <c r="R10" s="12" t="n">
        <v>1</v>
      </c>
      <c r="S10" s="10"/>
      <c r="T10" s="10"/>
      <c r="U10" s="12" t="n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2" t="n">
        <v>1</v>
      </c>
      <c r="AH10" s="10"/>
      <c r="AI10" s="10"/>
      <c r="AJ10" s="10"/>
      <c r="AK10" s="10"/>
      <c r="AL10" s="12" t="n">
        <v>1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2" t="n">
        <v>1</v>
      </c>
      <c r="BE10" s="10"/>
      <c r="BF10" s="12" t="n">
        <v>1</v>
      </c>
      <c r="BG10" s="10"/>
      <c r="BH10" s="10"/>
      <c r="BI10" s="10"/>
      <c r="BJ10" s="10"/>
      <c r="BK10" s="10"/>
      <c r="BL10" s="10"/>
      <c r="BM10" s="10"/>
      <c r="BN10" s="10"/>
      <c r="BO10" s="12" t="n">
        <v>1</v>
      </c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2" t="n">
        <v>1</v>
      </c>
      <c r="CA10" s="10"/>
      <c r="CB10" s="10"/>
      <c r="CC10" s="10"/>
      <c r="CD10" s="10"/>
      <c r="CE10" s="10"/>
      <c r="CF10" s="10"/>
      <c r="CG10" s="10"/>
      <c r="CH10" s="10"/>
      <c r="CI10" s="10"/>
      <c r="CJ10" s="10"/>
    </row>
    <row r="11" customFormat="false" ht="43.25" hidden="false" customHeight="false" outlineLevel="0" collapsed="false">
      <c r="A11" s="10" t="n">
        <v>9</v>
      </c>
      <c r="B11" s="10" t="s">
        <v>173</v>
      </c>
      <c r="C11" s="10" t="s">
        <v>174</v>
      </c>
      <c r="D11" s="10" t="s">
        <v>118</v>
      </c>
      <c r="E11" s="10" t="s">
        <v>153</v>
      </c>
      <c r="F11" s="10" t="s">
        <v>145</v>
      </c>
      <c r="G11" s="10" t="s">
        <v>146</v>
      </c>
      <c r="H11" s="10" t="n">
        <v>18</v>
      </c>
      <c r="I11" s="10" t="s">
        <v>175</v>
      </c>
      <c r="J11" s="11" t="s">
        <v>176</v>
      </c>
      <c r="K11" s="12" t="n">
        <v>1</v>
      </c>
      <c r="L11" s="12" t="n">
        <v>1</v>
      </c>
      <c r="M11" s="12" t="n">
        <v>1</v>
      </c>
      <c r="N11" s="12" t="n">
        <v>1</v>
      </c>
      <c r="O11" s="10"/>
      <c r="P11" s="10"/>
      <c r="Q11" s="10"/>
      <c r="R11" s="10"/>
      <c r="S11" s="10"/>
      <c r="T11" s="10"/>
      <c r="U11" s="12" t="n">
        <v>1</v>
      </c>
      <c r="V11" s="12" t="n">
        <v>1</v>
      </c>
      <c r="W11" s="10"/>
      <c r="X11" s="10"/>
      <c r="Y11" s="10"/>
      <c r="Z11" s="10"/>
      <c r="AA11" s="10"/>
      <c r="AB11" s="10"/>
      <c r="AC11" s="10"/>
      <c r="AD11" s="10"/>
      <c r="AE11" s="12" t="n">
        <v>1</v>
      </c>
      <c r="AF11" s="10"/>
      <c r="AG11" s="12" t="n">
        <v>1</v>
      </c>
      <c r="AH11" s="10"/>
      <c r="AI11" s="10"/>
      <c r="AJ11" s="10"/>
      <c r="AK11" s="10"/>
      <c r="AL11" s="12" t="n">
        <v>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2" t="n">
        <v>1</v>
      </c>
      <c r="BE11" s="10"/>
      <c r="BF11" s="12" t="n">
        <v>1</v>
      </c>
      <c r="BG11" s="10"/>
      <c r="BH11" s="10"/>
      <c r="BI11" s="10"/>
      <c r="BJ11" s="10"/>
      <c r="BK11" s="12" t="n">
        <v>1</v>
      </c>
      <c r="BL11" s="10"/>
      <c r="BM11" s="12" t="n">
        <v>1</v>
      </c>
      <c r="BN11" s="10"/>
      <c r="BO11" s="12" t="n">
        <v>1</v>
      </c>
      <c r="BP11" s="10"/>
      <c r="BQ11" s="10"/>
      <c r="BR11" s="10"/>
      <c r="BS11" s="10"/>
      <c r="BT11" s="12" t="n">
        <v>1</v>
      </c>
      <c r="BU11" s="10"/>
      <c r="BV11" s="10"/>
      <c r="BW11" s="10"/>
      <c r="BX11" s="10"/>
      <c r="BY11" s="10"/>
      <c r="BZ11" s="12" t="n">
        <v>1</v>
      </c>
      <c r="CA11" s="10"/>
      <c r="CB11" s="10"/>
      <c r="CC11" s="10"/>
      <c r="CD11" s="10"/>
      <c r="CE11" s="10"/>
      <c r="CF11" s="12" t="n">
        <v>1</v>
      </c>
      <c r="CG11" s="10"/>
      <c r="CH11" s="10"/>
      <c r="CI11" s="10"/>
      <c r="CJ11" s="12" t="n">
        <v>1</v>
      </c>
    </row>
    <row r="12" customFormat="false" ht="15" hidden="false" customHeight="false" outlineLevel="0" collapsed="false">
      <c r="A12" s="13" t="n">
        <v>10</v>
      </c>
      <c r="B12" s="13" t="s">
        <v>177</v>
      </c>
      <c r="C12" s="13" t="s">
        <v>178</v>
      </c>
      <c r="D12" s="13" t="s">
        <v>118</v>
      </c>
      <c r="E12" s="13" t="s">
        <v>153</v>
      </c>
      <c r="F12" s="13" t="s">
        <v>157</v>
      </c>
      <c r="G12" s="13"/>
      <c r="H12" s="13" t="n">
        <v>0</v>
      </c>
      <c r="I12" s="13"/>
      <c r="J12" s="14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</row>
    <row r="13" customFormat="false" ht="15" hidden="false" customHeight="false" outlineLevel="0" collapsed="false">
      <c r="A13" s="13" t="n">
        <v>11</v>
      </c>
      <c r="B13" s="13" t="s">
        <v>179</v>
      </c>
      <c r="C13" s="13" t="s">
        <v>180</v>
      </c>
      <c r="D13" s="13" t="s">
        <v>118</v>
      </c>
      <c r="E13" s="13" t="s">
        <v>153</v>
      </c>
      <c r="F13" s="13" t="s">
        <v>157</v>
      </c>
      <c r="G13" s="13"/>
      <c r="H13" s="13" t="n">
        <v>0</v>
      </c>
      <c r="I13" s="13"/>
      <c r="J13" s="14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</row>
    <row r="14" customFormat="false" ht="15" hidden="false" customHeight="false" outlineLevel="0" collapsed="false">
      <c r="A14" s="10" t="n">
        <v>12</v>
      </c>
      <c r="B14" s="10" t="s">
        <v>181</v>
      </c>
      <c r="C14" s="10" t="s">
        <v>182</v>
      </c>
      <c r="D14" s="10" t="s">
        <v>118</v>
      </c>
      <c r="E14" s="10" t="s">
        <v>144</v>
      </c>
      <c r="F14" s="10" t="s">
        <v>145</v>
      </c>
      <c r="G14" s="10" t="s">
        <v>183</v>
      </c>
      <c r="H14" s="10" t="n">
        <v>3</v>
      </c>
      <c r="I14" s="10" t="s">
        <v>184</v>
      </c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2" t="n">
        <v>1</v>
      </c>
      <c r="BE14" s="10"/>
      <c r="BF14" s="12" t="n">
        <v>1</v>
      </c>
      <c r="BG14" s="10"/>
      <c r="BH14" s="10"/>
      <c r="BI14" s="10"/>
      <c r="BJ14" s="10"/>
      <c r="BK14" s="10"/>
      <c r="BL14" s="10"/>
      <c r="BM14" s="10"/>
      <c r="BN14" s="12" t="n">
        <v>1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</row>
    <row r="15" customFormat="false" ht="32.8" hidden="false" customHeight="false" outlineLevel="0" collapsed="false">
      <c r="A15" s="10" t="n">
        <v>13</v>
      </c>
      <c r="B15" s="10" t="s">
        <v>185</v>
      </c>
      <c r="C15" s="10" t="s">
        <v>186</v>
      </c>
      <c r="D15" s="10" t="s">
        <v>118</v>
      </c>
      <c r="E15" s="10" t="s">
        <v>144</v>
      </c>
      <c r="F15" s="10" t="s">
        <v>145</v>
      </c>
      <c r="G15" s="10" t="s">
        <v>146</v>
      </c>
      <c r="H15" s="10" t="n">
        <v>21</v>
      </c>
      <c r="I15" s="10" t="s">
        <v>187</v>
      </c>
      <c r="J15" s="11" t="s">
        <v>188</v>
      </c>
      <c r="K15" s="12" t="n">
        <v>1</v>
      </c>
      <c r="L15" s="12" t="n">
        <v>1</v>
      </c>
      <c r="M15" s="12" t="n">
        <v>1</v>
      </c>
      <c r="N15" s="12" t="n">
        <v>1</v>
      </c>
      <c r="O15" s="10"/>
      <c r="P15" s="10"/>
      <c r="Q15" s="10"/>
      <c r="R15" s="12" t="n">
        <v>1</v>
      </c>
      <c r="S15" s="10"/>
      <c r="T15" s="10"/>
      <c r="U15" s="10"/>
      <c r="V15" s="12" t="n">
        <v>1</v>
      </c>
      <c r="W15" s="10"/>
      <c r="X15" s="10"/>
      <c r="Y15" s="10"/>
      <c r="Z15" s="12" t="n">
        <v>1</v>
      </c>
      <c r="AA15" s="10"/>
      <c r="AB15" s="10"/>
      <c r="AC15" s="10"/>
      <c r="AD15" s="10"/>
      <c r="AE15" s="12" t="n">
        <v>1</v>
      </c>
      <c r="AF15" s="10"/>
      <c r="AG15" s="12" t="n">
        <v>1</v>
      </c>
      <c r="AH15" s="10"/>
      <c r="AI15" s="10"/>
      <c r="AJ15" s="10"/>
      <c r="AK15" s="10"/>
      <c r="AL15" s="12" t="n">
        <v>1</v>
      </c>
      <c r="AM15" s="10"/>
      <c r="AN15" s="12" t="n">
        <v>1</v>
      </c>
      <c r="AO15" s="10"/>
      <c r="AP15" s="10"/>
      <c r="AQ15" s="10"/>
      <c r="AR15" s="12" t="n">
        <v>1</v>
      </c>
      <c r="AS15" s="10"/>
      <c r="AT15" s="10"/>
      <c r="AU15" s="10"/>
      <c r="AV15" s="10"/>
      <c r="AW15" s="10"/>
      <c r="AX15" s="10"/>
      <c r="AY15" s="10"/>
      <c r="AZ15" s="10"/>
      <c r="BA15" s="12" t="n">
        <v>1</v>
      </c>
      <c r="BB15" s="10"/>
      <c r="BC15" s="10"/>
      <c r="BD15" s="12" t="n">
        <v>1</v>
      </c>
      <c r="BE15" s="12" t="n">
        <v>1</v>
      </c>
      <c r="BF15" s="12" t="n">
        <v>1</v>
      </c>
      <c r="BG15" s="12" t="n">
        <v>1</v>
      </c>
      <c r="BH15" s="10"/>
      <c r="BI15" s="10"/>
      <c r="BJ15" s="10"/>
      <c r="BK15" s="10"/>
      <c r="BL15" s="10"/>
      <c r="BM15" s="10"/>
      <c r="BN15" s="12" t="n">
        <v>1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2" t="n">
        <v>1</v>
      </c>
      <c r="CD15" s="10"/>
      <c r="CE15" s="12" t="n">
        <v>1</v>
      </c>
      <c r="CF15" s="10"/>
      <c r="CG15" s="10"/>
      <c r="CH15" s="10"/>
      <c r="CI15" s="10"/>
      <c r="CJ15" s="12" t="n">
        <v>1</v>
      </c>
    </row>
    <row r="16" customFormat="false" ht="15" hidden="false" customHeight="false" outlineLevel="0" collapsed="false">
      <c r="A16" s="13" t="n">
        <v>14</v>
      </c>
      <c r="B16" s="13" t="s">
        <v>189</v>
      </c>
      <c r="C16" s="13" t="s">
        <v>190</v>
      </c>
      <c r="D16" s="13" t="s">
        <v>119</v>
      </c>
      <c r="E16" s="13" t="s">
        <v>144</v>
      </c>
      <c r="F16" s="13" t="s">
        <v>157</v>
      </c>
      <c r="G16" s="13"/>
      <c r="H16" s="13" t="n">
        <v>0</v>
      </c>
      <c r="I16" s="13"/>
      <c r="J16" s="14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</row>
    <row r="17" customFormat="false" ht="15" hidden="false" customHeight="false" outlineLevel="0" collapsed="false">
      <c r="A17" s="10" t="n">
        <v>15</v>
      </c>
      <c r="B17" s="10" t="s">
        <v>191</v>
      </c>
      <c r="C17" s="10" t="s">
        <v>192</v>
      </c>
      <c r="D17" s="10" t="s">
        <v>119</v>
      </c>
      <c r="E17" s="10" t="s">
        <v>144</v>
      </c>
      <c r="F17" s="10" t="s">
        <v>193</v>
      </c>
      <c r="G17" s="10" t="s">
        <v>146</v>
      </c>
      <c r="H17" s="10" t="n">
        <v>3</v>
      </c>
      <c r="I17" s="10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2" t="n">
        <v>1</v>
      </c>
      <c r="BB17" s="10"/>
      <c r="BC17" s="10"/>
      <c r="BD17" s="10"/>
      <c r="BE17" s="10"/>
      <c r="BF17" s="12" t="n">
        <v>1</v>
      </c>
      <c r="BG17" s="12" t="n">
        <v>1</v>
      </c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</row>
    <row r="18" customFormat="false" ht="15" hidden="false" customHeight="false" outlineLevel="0" collapsed="false">
      <c r="A18" s="10" t="n">
        <v>16</v>
      </c>
      <c r="B18" s="10" t="s">
        <v>194</v>
      </c>
      <c r="C18" s="10" t="s">
        <v>195</v>
      </c>
      <c r="D18" s="10" t="s">
        <v>119</v>
      </c>
      <c r="E18" s="10" t="s">
        <v>153</v>
      </c>
      <c r="F18" s="10" t="s">
        <v>193</v>
      </c>
      <c r="G18" s="10" t="s">
        <v>146</v>
      </c>
      <c r="H18" s="10" t="n">
        <v>3</v>
      </c>
      <c r="I18" s="10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2" t="n">
        <v>1</v>
      </c>
      <c r="BB18" s="10"/>
      <c r="BC18" s="10"/>
      <c r="BD18" s="10"/>
      <c r="BE18" s="10"/>
      <c r="BF18" s="12" t="n">
        <v>1</v>
      </c>
      <c r="BG18" s="12" t="n">
        <v>1</v>
      </c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</row>
    <row r="19" customFormat="false" ht="15" hidden="false" customHeight="false" outlineLevel="0" collapsed="false">
      <c r="A19" s="10" t="n">
        <v>17</v>
      </c>
      <c r="B19" s="10" t="s">
        <v>196</v>
      </c>
      <c r="C19" s="10" t="s">
        <v>197</v>
      </c>
      <c r="D19" s="10" t="s">
        <v>119</v>
      </c>
      <c r="E19" s="10" t="s">
        <v>153</v>
      </c>
      <c r="F19" s="10" t="s">
        <v>145</v>
      </c>
      <c r="G19" s="10" t="s">
        <v>146</v>
      </c>
      <c r="H19" s="10" t="n">
        <v>5</v>
      </c>
      <c r="I19" s="10" t="s">
        <v>198</v>
      </c>
      <c r="J19" s="11"/>
      <c r="K19" s="12" t="n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2" t="n">
        <v>1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2" t="n">
        <v>1</v>
      </c>
      <c r="BE19" s="10"/>
      <c r="BF19" s="12" t="n">
        <v>1</v>
      </c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2" t="n">
        <v>1</v>
      </c>
      <c r="CA19" s="10"/>
      <c r="CB19" s="10"/>
      <c r="CC19" s="10"/>
      <c r="CD19" s="10"/>
      <c r="CE19" s="10"/>
      <c r="CF19" s="10"/>
      <c r="CG19" s="10"/>
      <c r="CH19" s="10"/>
      <c r="CI19" s="10"/>
      <c r="CJ19" s="10"/>
    </row>
    <row r="20" customFormat="false" ht="15" hidden="false" customHeight="false" outlineLevel="0" collapsed="false">
      <c r="A20" s="10" t="n">
        <v>18</v>
      </c>
      <c r="B20" s="10" t="s">
        <v>199</v>
      </c>
      <c r="C20" s="10" t="s">
        <v>200</v>
      </c>
      <c r="D20" s="10" t="s">
        <v>119</v>
      </c>
      <c r="E20" s="10" t="s">
        <v>144</v>
      </c>
      <c r="F20" s="10" t="s">
        <v>167</v>
      </c>
      <c r="G20" s="10" t="s">
        <v>146</v>
      </c>
      <c r="H20" s="10" t="n">
        <v>2</v>
      </c>
      <c r="I20" s="10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2" t="n">
        <v>1</v>
      </c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2" t="n">
        <v>1</v>
      </c>
    </row>
    <row r="21" customFormat="false" ht="15" hidden="false" customHeight="false" outlineLevel="0" collapsed="false">
      <c r="A21" s="13" t="n">
        <v>19</v>
      </c>
      <c r="B21" s="13" t="s">
        <v>201</v>
      </c>
      <c r="C21" s="13" t="s">
        <v>202</v>
      </c>
      <c r="D21" s="13" t="s">
        <v>119</v>
      </c>
      <c r="E21" s="13" t="s">
        <v>144</v>
      </c>
      <c r="F21" s="13" t="s">
        <v>157</v>
      </c>
      <c r="G21" s="13"/>
      <c r="H21" s="13" t="n">
        <v>0</v>
      </c>
      <c r="I21" s="13"/>
      <c r="J21" s="1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</row>
    <row r="22" customFormat="false" ht="15" hidden="false" customHeight="false" outlineLevel="0" collapsed="false">
      <c r="A22" s="13" t="n">
        <v>20</v>
      </c>
      <c r="B22" s="13" t="s">
        <v>203</v>
      </c>
      <c r="C22" s="13" t="s">
        <v>204</v>
      </c>
      <c r="D22" s="13" t="s">
        <v>119</v>
      </c>
      <c r="E22" s="13" t="s">
        <v>153</v>
      </c>
      <c r="F22" s="13" t="s">
        <v>157</v>
      </c>
      <c r="G22" s="13"/>
      <c r="H22" s="13" t="n">
        <v>0</v>
      </c>
      <c r="I22" s="13"/>
      <c r="J22" s="1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</row>
    <row r="23" customFormat="false" ht="15" hidden="false" customHeight="false" outlineLevel="0" collapsed="false">
      <c r="A23" s="10" t="n">
        <v>21</v>
      </c>
      <c r="B23" s="10" t="s">
        <v>205</v>
      </c>
      <c r="C23" s="10" t="s">
        <v>206</v>
      </c>
      <c r="D23" s="10" t="s">
        <v>119</v>
      </c>
      <c r="E23" s="10" t="s">
        <v>153</v>
      </c>
      <c r="F23" s="10" t="s">
        <v>145</v>
      </c>
      <c r="G23" s="10" t="s">
        <v>146</v>
      </c>
      <c r="H23" s="10" t="n">
        <v>10</v>
      </c>
      <c r="I23" s="10" t="s">
        <v>207</v>
      </c>
      <c r="J23" s="11" t="s">
        <v>208</v>
      </c>
      <c r="K23" s="12" t="n">
        <v>1</v>
      </c>
      <c r="L23" s="12" t="n">
        <v>1</v>
      </c>
      <c r="M23" s="12" t="n">
        <v>1</v>
      </c>
      <c r="N23" s="10"/>
      <c r="O23" s="10"/>
      <c r="P23" s="10"/>
      <c r="Q23" s="10"/>
      <c r="R23" s="12" t="n">
        <v>1</v>
      </c>
      <c r="S23" s="12" t="n">
        <v>1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2" t="n">
        <v>1</v>
      </c>
      <c r="AL23" s="12" t="n">
        <v>1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2" t="n">
        <v>1</v>
      </c>
      <c r="BE23" s="10"/>
      <c r="BF23" s="12" t="n">
        <v>1</v>
      </c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2" t="n">
        <v>1</v>
      </c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</row>
    <row r="24" customFormat="false" ht="15" hidden="false" customHeight="false" outlineLevel="0" collapsed="false">
      <c r="A24" s="10" t="n">
        <v>22</v>
      </c>
      <c r="B24" s="10" t="s">
        <v>209</v>
      </c>
      <c r="C24" s="10" t="s">
        <v>210</v>
      </c>
      <c r="D24" s="10" t="s">
        <v>120</v>
      </c>
      <c r="E24" s="10" t="s">
        <v>144</v>
      </c>
      <c r="F24" s="10" t="s">
        <v>145</v>
      </c>
      <c r="G24" s="10" t="s">
        <v>146</v>
      </c>
      <c r="H24" s="10" t="n">
        <v>12</v>
      </c>
      <c r="I24" s="10" t="s">
        <v>211</v>
      </c>
      <c r="J24" s="11" t="s">
        <v>208</v>
      </c>
      <c r="K24" s="12" t="n">
        <v>1</v>
      </c>
      <c r="L24" s="12" t="n">
        <v>1</v>
      </c>
      <c r="M24" s="12" t="n">
        <v>1</v>
      </c>
      <c r="N24" s="10"/>
      <c r="O24" s="10"/>
      <c r="P24" s="10"/>
      <c r="Q24" s="10"/>
      <c r="R24" s="12" t="n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2" t="n">
        <v>1</v>
      </c>
      <c r="AH24" s="10"/>
      <c r="AI24" s="10"/>
      <c r="AJ24" s="10"/>
      <c r="AK24" s="12" t="n">
        <v>1</v>
      </c>
      <c r="AL24" s="12" t="n">
        <v>1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2" t="n">
        <v>1</v>
      </c>
      <c r="AW24" s="10"/>
      <c r="AX24" s="10"/>
      <c r="AY24" s="10"/>
      <c r="AZ24" s="10"/>
      <c r="BA24" s="10"/>
      <c r="BB24" s="10"/>
      <c r="BC24" s="10"/>
      <c r="BD24" s="12" t="n">
        <v>1</v>
      </c>
      <c r="BE24" s="10"/>
      <c r="BF24" s="12" t="n">
        <v>1</v>
      </c>
      <c r="BG24" s="10"/>
      <c r="BH24" s="10"/>
      <c r="BI24" s="12" t="n">
        <v>1</v>
      </c>
      <c r="BJ24" s="10"/>
      <c r="BK24" s="10"/>
      <c r="BL24" s="10"/>
      <c r="BM24" s="10"/>
      <c r="BN24" s="10"/>
      <c r="BO24" s="10"/>
      <c r="BP24" s="12" t="n">
        <v>1</v>
      </c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</row>
    <row r="25" customFormat="false" ht="32.8" hidden="false" customHeight="false" outlineLevel="0" collapsed="false">
      <c r="A25" s="10" t="n">
        <v>23</v>
      </c>
      <c r="B25" s="10" t="s">
        <v>212</v>
      </c>
      <c r="C25" s="10" t="s">
        <v>213</v>
      </c>
      <c r="D25" s="10" t="s">
        <v>120</v>
      </c>
      <c r="E25" s="10" t="s">
        <v>153</v>
      </c>
      <c r="F25" s="10" t="s">
        <v>145</v>
      </c>
      <c r="G25" s="10" t="s">
        <v>146</v>
      </c>
      <c r="H25" s="10" t="n">
        <v>17</v>
      </c>
      <c r="I25" s="10"/>
      <c r="J25" s="11" t="s">
        <v>164</v>
      </c>
      <c r="K25" s="12" t="n">
        <v>1</v>
      </c>
      <c r="L25" s="12" t="n">
        <v>1</v>
      </c>
      <c r="M25" s="12" t="n">
        <v>1</v>
      </c>
      <c r="N25" s="10"/>
      <c r="O25" s="12" t="n">
        <v>1</v>
      </c>
      <c r="P25" s="10"/>
      <c r="Q25" s="12" t="n">
        <v>1</v>
      </c>
      <c r="R25" s="12" t="n">
        <v>1</v>
      </c>
      <c r="S25" s="12" t="n">
        <v>1</v>
      </c>
      <c r="T25" s="12" t="n">
        <v>1</v>
      </c>
      <c r="U25" s="10"/>
      <c r="V25" s="10"/>
      <c r="W25" s="10"/>
      <c r="X25" s="10"/>
      <c r="Y25" s="12" t="n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2" t="n">
        <v>1</v>
      </c>
      <c r="AL25" s="10"/>
      <c r="AM25" s="10"/>
      <c r="AN25" s="10"/>
      <c r="AO25" s="12" t="n">
        <v>1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2" t="n">
        <v>1</v>
      </c>
      <c r="BF25" s="12" t="n">
        <v>1</v>
      </c>
      <c r="BG25" s="12" t="n">
        <v>1</v>
      </c>
      <c r="BH25" s="10"/>
      <c r="BI25" s="10"/>
      <c r="BJ25" s="12" t="n">
        <v>1</v>
      </c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2" t="n">
        <v>1</v>
      </c>
      <c r="CD25" s="10"/>
      <c r="CE25" s="10"/>
      <c r="CF25" s="10"/>
      <c r="CG25" s="10"/>
      <c r="CH25" s="10"/>
      <c r="CI25" s="10"/>
      <c r="CJ25" s="12" t="n">
        <v>1</v>
      </c>
    </row>
    <row r="26" customFormat="false" ht="15" hidden="false" customHeight="false" outlineLevel="0" collapsed="false">
      <c r="A26" s="10" t="n">
        <v>24</v>
      </c>
      <c r="B26" s="10" t="s">
        <v>214</v>
      </c>
      <c r="C26" s="10" t="s">
        <v>215</v>
      </c>
      <c r="D26" s="10" t="s">
        <v>120</v>
      </c>
      <c r="E26" s="10" t="s">
        <v>153</v>
      </c>
      <c r="F26" s="10" t="s">
        <v>145</v>
      </c>
      <c r="G26" s="10" t="s">
        <v>146</v>
      </c>
      <c r="H26" s="10" t="n">
        <v>3</v>
      </c>
      <c r="I26" s="10"/>
      <c r="J26" s="11" t="s">
        <v>160</v>
      </c>
      <c r="K26" s="10"/>
      <c r="L26" s="12" t="n">
        <v>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2" t="n">
        <v>1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2" t="n">
        <v>1</v>
      </c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</row>
    <row r="27" customFormat="false" ht="15" hidden="false" customHeight="false" outlineLevel="0" collapsed="false">
      <c r="A27" s="10" t="n">
        <v>25</v>
      </c>
      <c r="B27" s="10" t="s">
        <v>216</v>
      </c>
      <c r="C27" s="10" t="s">
        <v>217</v>
      </c>
      <c r="D27" s="10" t="s">
        <v>119</v>
      </c>
      <c r="E27" s="10" t="s">
        <v>153</v>
      </c>
      <c r="F27" s="10" t="s">
        <v>145</v>
      </c>
      <c r="G27" s="10" t="s">
        <v>146</v>
      </c>
      <c r="H27" s="10" t="n">
        <v>7</v>
      </c>
      <c r="I27" s="10" t="s">
        <v>218</v>
      </c>
      <c r="J27" s="11" t="s">
        <v>219</v>
      </c>
      <c r="K27" s="10"/>
      <c r="L27" s="10"/>
      <c r="M27" s="12" t="n">
        <v>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2" t="n">
        <v>1</v>
      </c>
      <c r="BC27" s="10"/>
      <c r="BD27" s="12" t="n">
        <v>1</v>
      </c>
      <c r="BE27" s="10"/>
      <c r="BF27" s="12" t="n">
        <v>1</v>
      </c>
      <c r="BG27" s="10"/>
      <c r="BH27" s="12" t="n">
        <v>1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2" t="n">
        <v>1</v>
      </c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2" t="n">
        <v>1</v>
      </c>
    </row>
    <row r="28" customFormat="false" ht="15" hidden="false" customHeight="false" outlineLevel="0" collapsed="false">
      <c r="A28" s="10" t="n">
        <v>26</v>
      </c>
      <c r="B28" s="10" t="s">
        <v>220</v>
      </c>
      <c r="C28" s="10" t="s">
        <v>221</v>
      </c>
      <c r="D28" s="10" t="s">
        <v>120</v>
      </c>
      <c r="E28" s="10" t="s">
        <v>144</v>
      </c>
      <c r="F28" s="10" t="s">
        <v>145</v>
      </c>
      <c r="G28" s="10" t="s">
        <v>146</v>
      </c>
      <c r="H28" s="10" t="n">
        <v>2</v>
      </c>
      <c r="I28" s="10" t="s">
        <v>222</v>
      </c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2" t="n">
        <v>1</v>
      </c>
      <c r="BE28" s="10"/>
      <c r="BF28" s="12" t="n">
        <v>1</v>
      </c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</row>
    <row r="29" customFormat="false" ht="15" hidden="false" customHeight="false" outlineLevel="0" collapsed="false">
      <c r="A29" s="10" t="n">
        <v>27</v>
      </c>
      <c r="B29" s="10" t="s">
        <v>223</v>
      </c>
      <c r="C29" s="10" t="s">
        <v>224</v>
      </c>
      <c r="D29" s="10" t="s">
        <v>120</v>
      </c>
      <c r="E29" s="10" t="s">
        <v>153</v>
      </c>
      <c r="F29" s="10" t="s">
        <v>145</v>
      </c>
      <c r="G29" s="10" t="s">
        <v>146</v>
      </c>
      <c r="H29" s="10" t="n">
        <v>8</v>
      </c>
      <c r="I29" s="10" t="s">
        <v>225</v>
      </c>
      <c r="J29" s="11"/>
      <c r="K29" s="12" t="n">
        <v>1</v>
      </c>
      <c r="L29" s="12" t="n">
        <v>1</v>
      </c>
      <c r="M29" s="12" t="n">
        <v>1</v>
      </c>
      <c r="N29" s="10"/>
      <c r="O29" s="10"/>
      <c r="P29" s="10"/>
      <c r="Q29" s="12" t="n">
        <v>1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2" t="n">
        <v>1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2" t="n">
        <v>1</v>
      </c>
      <c r="BE29" s="10"/>
      <c r="BF29" s="12" t="n">
        <v>1</v>
      </c>
      <c r="BG29" s="10"/>
      <c r="BH29" s="10"/>
      <c r="BI29" s="10"/>
      <c r="BJ29" s="12" t="n">
        <v>1</v>
      </c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</row>
    <row r="30" customFormat="false" ht="15" hidden="false" customHeight="false" outlineLevel="0" collapsed="false">
      <c r="A30" s="10" t="n">
        <v>28</v>
      </c>
      <c r="B30" s="10" t="s">
        <v>226</v>
      </c>
      <c r="C30" s="10" t="s">
        <v>227</v>
      </c>
      <c r="D30" s="10" t="s">
        <v>120</v>
      </c>
      <c r="E30" s="10" t="s">
        <v>153</v>
      </c>
      <c r="F30" s="10" t="s">
        <v>145</v>
      </c>
      <c r="G30" s="10" t="s">
        <v>150</v>
      </c>
      <c r="H30" s="10" t="n">
        <v>1</v>
      </c>
      <c r="I30" s="10"/>
      <c r="J30" s="1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2" t="n">
        <v>1</v>
      </c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</row>
    <row r="31" customFormat="false" ht="32.8" hidden="false" customHeight="false" outlineLevel="0" collapsed="false">
      <c r="A31" s="10" t="n">
        <v>29</v>
      </c>
      <c r="B31" s="10" t="s">
        <v>228</v>
      </c>
      <c r="C31" s="10" t="s">
        <v>229</v>
      </c>
      <c r="D31" s="10" t="s">
        <v>120</v>
      </c>
      <c r="E31" s="10" t="s">
        <v>153</v>
      </c>
      <c r="F31" s="10" t="s">
        <v>145</v>
      </c>
      <c r="G31" s="10" t="s">
        <v>146</v>
      </c>
      <c r="H31" s="10" t="n">
        <v>11</v>
      </c>
      <c r="I31" s="10" t="s">
        <v>230</v>
      </c>
      <c r="J31" s="11" t="s">
        <v>164</v>
      </c>
      <c r="K31" s="12" t="n">
        <v>1</v>
      </c>
      <c r="L31" s="12" t="n">
        <v>1</v>
      </c>
      <c r="M31" s="10"/>
      <c r="N31" s="10"/>
      <c r="O31" s="10"/>
      <c r="P31" s="10"/>
      <c r="Q31" s="12" t="n">
        <v>1</v>
      </c>
      <c r="R31" s="10"/>
      <c r="S31" s="12" t="n">
        <v>1</v>
      </c>
      <c r="T31" s="12" t="n">
        <v>1</v>
      </c>
      <c r="U31" s="10"/>
      <c r="V31" s="10"/>
      <c r="W31" s="10"/>
      <c r="X31" s="12" t="n">
        <v>1</v>
      </c>
      <c r="Y31" s="12" t="n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2" t="n">
        <v>1</v>
      </c>
      <c r="AK31" s="10"/>
      <c r="AL31" s="10"/>
      <c r="AM31" s="10"/>
      <c r="AN31" s="10"/>
      <c r="AO31" s="12" t="n">
        <v>1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2" t="n">
        <v>1</v>
      </c>
      <c r="BE31" s="10"/>
      <c r="BF31" s="12" t="n">
        <v>1</v>
      </c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</row>
    <row r="32" customFormat="false" ht="15" hidden="false" customHeight="false" outlineLevel="0" collapsed="false">
      <c r="A32" s="10" t="n">
        <v>30</v>
      </c>
      <c r="B32" s="10" t="s">
        <v>231</v>
      </c>
      <c r="C32" s="10" t="s">
        <v>232</v>
      </c>
      <c r="D32" s="10" t="s">
        <v>121</v>
      </c>
      <c r="E32" s="10" t="s">
        <v>144</v>
      </c>
      <c r="F32" s="10" t="s">
        <v>145</v>
      </c>
      <c r="G32" s="10" t="s">
        <v>146</v>
      </c>
      <c r="H32" s="10" t="n">
        <v>13</v>
      </c>
      <c r="I32" s="10" t="s">
        <v>233</v>
      </c>
      <c r="J32" s="11" t="s">
        <v>234</v>
      </c>
      <c r="K32" s="12" t="n">
        <v>1</v>
      </c>
      <c r="L32" s="12" t="n">
        <v>1</v>
      </c>
      <c r="M32" s="12" t="n">
        <v>1</v>
      </c>
      <c r="N32" s="10"/>
      <c r="O32" s="10"/>
      <c r="P32" s="12" t="n">
        <v>1</v>
      </c>
      <c r="Q32" s="10"/>
      <c r="R32" s="12" t="n">
        <v>1</v>
      </c>
      <c r="S32" s="10"/>
      <c r="T32" s="12" t="n">
        <v>1</v>
      </c>
      <c r="U32" s="12" t="n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2" t="n">
        <v>1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2" t="n">
        <v>1</v>
      </c>
      <c r="BB32" s="10"/>
      <c r="BC32" s="10"/>
      <c r="BD32" s="12" t="n">
        <v>1</v>
      </c>
      <c r="BE32" s="10"/>
      <c r="BF32" s="12" t="n">
        <v>1</v>
      </c>
      <c r="BG32" s="12" t="n">
        <v>1</v>
      </c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2" t="n">
        <v>1</v>
      </c>
      <c r="CH32" s="10"/>
      <c r="CI32" s="10"/>
      <c r="CJ32" s="10"/>
    </row>
    <row r="33" customFormat="false" ht="15" hidden="false" customHeight="false" outlineLevel="0" collapsed="false">
      <c r="A33" s="13" t="n">
        <v>31</v>
      </c>
      <c r="B33" s="13" t="s">
        <v>235</v>
      </c>
      <c r="C33" s="13" t="s">
        <v>236</v>
      </c>
      <c r="D33" s="13" t="s">
        <v>121</v>
      </c>
      <c r="E33" s="13" t="s">
        <v>144</v>
      </c>
      <c r="F33" s="13" t="s">
        <v>157</v>
      </c>
      <c r="G33" s="13"/>
      <c r="H33" s="13" t="n">
        <v>0</v>
      </c>
      <c r="I33" s="13"/>
      <c r="J33" s="1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</row>
    <row r="34" customFormat="false" ht="22.35" hidden="false" customHeight="false" outlineLevel="0" collapsed="false">
      <c r="A34" s="10" t="n">
        <v>32</v>
      </c>
      <c r="B34" s="10" t="s">
        <v>237</v>
      </c>
      <c r="C34" s="10" t="s">
        <v>238</v>
      </c>
      <c r="D34" s="10" t="s">
        <v>121</v>
      </c>
      <c r="E34" s="10" t="s">
        <v>153</v>
      </c>
      <c r="F34" s="10" t="s">
        <v>145</v>
      </c>
      <c r="G34" s="10" t="s">
        <v>146</v>
      </c>
      <c r="H34" s="10" t="n">
        <v>10</v>
      </c>
      <c r="I34" s="10" t="s">
        <v>239</v>
      </c>
      <c r="J34" s="11" t="s">
        <v>240</v>
      </c>
      <c r="K34" s="12" t="n">
        <v>1</v>
      </c>
      <c r="L34" s="12" t="n">
        <v>1</v>
      </c>
      <c r="M34" s="12" t="n">
        <v>1</v>
      </c>
      <c r="N34" s="10"/>
      <c r="O34" s="10"/>
      <c r="P34" s="10"/>
      <c r="Q34" s="10"/>
      <c r="R34" s="10"/>
      <c r="S34" s="10"/>
      <c r="T34" s="10"/>
      <c r="U34" s="10"/>
      <c r="V34" s="12" t="n">
        <v>1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2" t="n">
        <v>1</v>
      </c>
      <c r="AH34" s="10"/>
      <c r="AI34" s="10"/>
      <c r="AJ34" s="10"/>
      <c r="AK34" s="10"/>
      <c r="AL34" s="12" t="n">
        <v>1</v>
      </c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2" t="n">
        <v>1</v>
      </c>
      <c r="BE34" s="10"/>
      <c r="BF34" s="12" t="n">
        <v>1</v>
      </c>
      <c r="BG34" s="10"/>
      <c r="BH34" s="10"/>
      <c r="BI34" s="10"/>
      <c r="BJ34" s="12" t="n">
        <v>1</v>
      </c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2" t="n">
        <v>1</v>
      </c>
      <c r="CH34" s="10"/>
      <c r="CI34" s="10"/>
      <c r="CJ34" s="10"/>
    </row>
    <row r="35" customFormat="false" ht="15" hidden="false" customHeight="false" outlineLevel="0" collapsed="false">
      <c r="A35" s="13" t="n">
        <v>33</v>
      </c>
      <c r="B35" s="13" t="s">
        <v>241</v>
      </c>
      <c r="C35" s="13" t="s">
        <v>242</v>
      </c>
      <c r="D35" s="13" t="s">
        <v>121</v>
      </c>
      <c r="E35" s="13" t="s">
        <v>153</v>
      </c>
      <c r="F35" s="13" t="s">
        <v>157</v>
      </c>
      <c r="G35" s="13"/>
      <c r="H35" s="13" t="n">
        <v>0</v>
      </c>
      <c r="I35" s="13"/>
      <c r="J35" s="1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</row>
    <row r="36" customFormat="false" ht="15" hidden="false" customHeight="false" outlineLevel="0" collapsed="false">
      <c r="A36" s="13" t="n">
        <v>34</v>
      </c>
      <c r="B36" s="13" t="s">
        <v>243</v>
      </c>
      <c r="C36" s="13" t="s">
        <v>244</v>
      </c>
      <c r="D36" s="13" t="s">
        <v>121</v>
      </c>
      <c r="E36" s="13" t="s">
        <v>153</v>
      </c>
      <c r="F36" s="13" t="s">
        <v>157</v>
      </c>
      <c r="G36" s="13"/>
      <c r="H36" s="13" t="n">
        <v>0</v>
      </c>
      <c r="I36" s="13"/>
      <c r="J36" s="1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</row>
    <row r="37" customFormat="false" ht="22.35" hidden="false" customHeight="false" outlineLevel="0" collapsed="false">
      <c r="A37" s="10" t="n">
        <v>35</v>
      </c>
      <c r="B37" s="10" t="s">
        <v>245</v>
      </c>
      <c r="C37" s="10" t="s">
        <v>246</v>
      </c>
      <c r="D37" s="10" t="s">
        <v>122</v>
      </c>
      <c r="E37" s="10" t="s">
        <v>144</v>
      </c>
      <c r="F37" s="10" t="s">
        <v>167</v>
      </c>
      <c r="G37" s="10" t="s">
        <v>247</v>
      </c>
      <c r="H37" s="10" t="n">
        <v>9</v>
      </c>
      <c r="I37" s="10"/>
      <c r="J37" s="11" t="s">
        <v>248</v>
      </c>
      <c r="K37" s="12" t="n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2" t="n">
        <v>1</v>
      </c>
      <c r="V37" s="12" t="n">
        <v>1</v>
      </c>
      <c r="W37" s="12" t="n">
        <v>1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2" t="n">
        <v>1</v>
      </c>
      <c r="AM37" s="10"/>
      <c r="AN37" s="10"/>
      <c r="AO37" s="10"/>
      <c r="AP37" s="12" t="n">
        <v>1</v>
      </c>
      <c r="AQ37" s="12" t="n">
        <v>1</v>
      </c>
      <c r="AR37" s="10"/>
      <c r="AS37" s="10"/>
      <c r="AT37" s="10"/>
      <c r="AU37" s="10"/>
      <c r="AV37" s="10"/>
      <c r="AW37" s="12" t="n">
        <v>1</v>
      </c>
      <c r="AX37" s="10"/>
      <c r="AY37" s="10"/>
      <c r="AZ37" s="10"/>
      <c r="BA37" s="10"/>
      <c r="BB37" s="10"/>
      <c r="BC37" s="10"/>
      <c r="BD37" s="12" t="n">
        <v>1</v>
      </c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</row>
    <row r="38" customFormat="false" ht="15" hidden="false" customHeight="false" outlineLevel="0" collapsed="false">
      <c r="A38" s="10" t="n">
        <v>36</v>
      </c>
      <c r="B38" s="10" t="s">
        <v>249</v>
      </c>
      <c r="C38" s="10" t="s">
        <v>250</v>
      </c>
      <c r="D38" s="10" t="s">
        <v>122</v>
      </c>
      <c r="E38" s="10" t="s">
        <v>144</v>
      </c>
      <c r="F38" s="10" t="s">
        <v>145</v>
      </c>
      <c r="G38" s="10" t="s">
        <v>146</v>
      </c>
      <c r="H38" s="10" t="n">
        <v>4</v>
      </c>
      <c r="I38" s="10" t="s">
        <v>251</v>
      </c>
      <c r="J38" s="11"/>
      <c r="K38" s="12" t="n">
        <v>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2" t="n">
        <v>1</v>
      </c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2" t="n">
        <v>1</v>
      </c>
      <c r="BE38" s="10"/>
      <c r="BF38" s="12" t="n">
        <v>1</v>
      </c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</row>
    <row r="39" customFormat="false" ht="15" hidden="false" customHeight="false" outlineLevel="0" collapsed="false">
      <c r="A39" s="13" t="n">
        <v>37</v>
      </c>
      <c r="B39" s="13" t="s">
        <v>252</v>
      </c>
      <c r="C39" s="13" t="s">
        <v>253</v>
      </c>
      <c r="D39" s="13" t="s">
        <v>122</v>
      </c>
      <c r="E39" s="13" t="s">
        <v>153</v>
      </c>
      <c r="F39" s="13" t="s">
        <v>157</v>
      </c>
      <c r="G39" s="13"/>
      <c r="H39" s="13" t="n">
        <v>0</v>
      </c>
      <c r="I39" s="13"/>
      <c r="J39" s="14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</row>
    <row r="40" customFormat="false" ht="15" hidden="false" customHeight="false" outlineLevel="0" collapsed="false">
      <c r="A40" s="10" t="n">
        <v>38</v>
      </c>
      <c r="B40" s="10" t="s">
        <v>254</v>
      </c>
      <c r="C40" s="10" t="s">
        <v>255</v>
      </c>
      <c r="D40" s="10" t="s">
        <v>122</v>
      </c>
      <c r="E40" s="10" t="s">
        <v>153</v>
      </c>
      <c r="F40" s="10" t="s">
        <v>145</v>
      </c>
      <c r="G40" s="10" t="s">
        <v>146</v>
      </c>
      <c r="H40" s="10" t="n">
        <v>7</v>
      </c>
      <c r="I40" s="10" t="s">
        <v>256</v>
      </c>
      <c r="J40" s="11"/>
      <c r="K40" s="12" t="n">
        <v>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2" t="n">
        <v>1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2" t="n">
        <v>1</v>
      </c>
      <c r="BE40" s="10"/>
      <c r="BF40" s="12" t="n">
        <v>1</v>
      </c>
      <c r="BG40" s="10"/>
      <c r="BH40" s="10"/>
      <c r="BI40" s="10"/>
      <c r="BJ40" s="10"/>
      <c r="BK40" s="10"/>
      <c r="BL40" s="10"/>
      <c r="BM40" s="10"/>
      <c r="BN40" s="10"/>
      <c r="BO40" s="12" t="n">
        <v>1</v>
      </c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2" t="n">
        <v>1</v>
      </c>
      <c r="CG40" s="10"/>
      <c r="CH40" s="10"/>
      <c r="CI40" s="10"/>
      <c r="CJ40" s="12" t="n">
        <v>1</v>
      </c>
    </row>
    <row r="41" customFormat="false" ht="15" hidden="false" customHeight="false" outlineLevel="0" collapsed="false">
      <c r="A41" s="10" t="n">
        <v>39</v>
      </c>
      <c r="B41" s="10" t="s">
        <v>257</v>
      </c>
      <c r="C41" s="10" t="s">
        <v>258</v>
      </c>
      <c r="D41" s="10" t="s">
        <v>122</v>
      </c>
      <c r="E41" s="10" t="s">
        <v>153</v>
      </c>
      <c r="F41" s="10" t="s">
        <v>145</v>
      </c>
      <c r="G41" s="10" t="s">
        <v>146</v>
      </c>
      <c r="H41" s="10" t="n">
        <v>8</v>
      </c>
      <c r="I41" s="10"/>
      <c r="J41" s="11" t="s">
        <v>160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2" t="n">
        <v>1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2" t="n">
        <v>1</v>
      </c>
      <c r="BE41" s="10"/>
      <c r="BF41" s="12" t="n">
        <v>1</v>
      </c>
      <c r="BG41" s="10"/>
      <c r="BH41" s="10"/>
      <c r="BI41" s="10"/>
      <c r="BJ41" s="12" t="n">
        <v>1</v>
      </c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2" t="n">
        <v>1</v>
      </c>
      <c r="CB41" s="10"/>
      <c r="CC41" s="10"/>
      <c r="CD41" s="12" t="n">
        <v>1</v>
      </c>
      <c r="CE41" s="12" t="n">
        <v>1</v>
      </c>
      <c r="CF41" s="10"/>
      <c r="CG41" s="10"/>
      <c r="CH41" s="10"/>
      <c r="CI41" s="10"/>
      <c r="CJ41" s="12" t="n">
        <v>1</v>
      </c>
    </row>
    <row r="42" customFormat="false" ht="15" hidden="false" customHeight="false" outlineLevel="0" collapsed="false">
      <c r="A42" s="10" t="n">
        <v>40</v>
      </c>
      <c r="B42" s="10" t="s">
        <v>259</v>
      </c>
      <c r="C42" s="10" t="s">
        <v>260</v>
      </c>
      <c r="D42" s="10" t="s">
        <v>122</v>
      </c>
      <c r="E42" s="10" t="s">
        <v>153</v>
      </c>
      <c r="F42" s="10" t="s">
        <v>145</v>
      </c>
      <c r="G42" s="10" t="s">
        <v>146</v>
      </c>
      <c r="H42" s="10" t="n">
        <v>9</v>
      </c>
      <c r="I42" s="10" t="s">
        <v>261</v>
      </c>
      <c r="J42" s="11" t="s">
        <v>262</v>
      </c>
      <c r="K42" s="12" t="n">
        <v>1</v>
      </c>
      <c r="L42" s="12" t="n">
        <v>1</v>
      </c>
      <c r="M42" s="12" t="n">
        <v>1</v>
      </c>
      <c r="N42" s="10"/>
      <c r="O42" s="10"/>
      <c r="P42" s="10"/>
      <c r="Q42" s="10"/>
      <c r="R42" s="10"/>
      <c r="S42" s="10"/>
      <c r="T42" s="10"/>
      <c r="U42" s="10"/>
      <c r="V42" s="12" t="n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2" t="n">
        <v>1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2" t="n">
        <v>1</v>
      </c>
      <c r="BE42" s="10"/>
      <c r="BF42" s="12" t="n">
        <v>1</v>
      </c>
      <c r="BG42" s="10"/>
      <c r="BH42" s="10"/>
      <c r="BI42" s="10"/>
      <c r="BJ42" s="12" t="n">
        <v>1</v>
      </c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2" t="n">
        <v>1</v>
      </c>
      <c r="CF42" s="10"/>
      <c r="CG42" s="10"/>
      <c r="CH42" s="10"/>
      <c r="CI42" s="10"/>
      <c r="CJ42" s="10"/>
    </row>
    <row r="43" customFormat="false" ht="15" hidden="false" customHeight="false" outlineLevel="0" collapsed="false">
      <c r="A43" s="13" t="n">
        <v>41</v>
      </c>
      <c r="B43" s="13" t="s">
        <v>263</v>
      </c>
      <c r="C43" s="13" t="s">
        <v>264</v>
      </c>
      <c r="D43" s="13" t="s">
        <v>123</v>
      </c>
      <c r="E43" s="13" t="s">
        <v>153</v>
      </c>
      <c r="F43" s="13" t="s">
        <v>157</v>
      </c>
      <c r="G43" s="13"/>
      <c r="H43" s="13" t="n">
        <v>0</v>
      </c>
      <c r="I43" s="13"/>
      <c r="J43" s="1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</row>
    <row r="44" customFormat="false" ht="15" hidden="false" customHeight="false" outlineLevel="0" collapsed="false">
      <c r="A44" s="13" t="n">
        <v>42</v>
      </c>
      <c r="B44" s="13" t="s">
        <v>265</v>
      </c>
      <c r="C44" s="13" t="s">
        <v>266</v>
      </c>
      <c r="D44" s="13" t="s">
        <v>123</v>
      </c>
      <c r="E44" s="13" t="s">
        <v>153</v>
      </c>
      <c r="F44" s="13" t="s">
        <v>157</v>
      </c>
      <c r="G44" s="13"/>
      <c r="H44" s="13" t="n">
        <v>0</v>
      </c>
      <c r="I44" s="13"/>
      <c r="J44" s="14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</row>
    <row r="45" customFormat="false" ht="22.35" hidden="false" customHeight="false" outlineLevel="0" collapsed="false">
      <c r="A45" s="10" t="n">
        <v>43</v>
      </c>
      <c r="B45" s="10" t="s">
        <v>267</v>
      </c>
      <c r="C45" s="10" t="s">
        <v>268</v>
      </c>
      <c r="D45" s="10" t="s">
        <v>123</v>
      </c>
      <c r="E45" s="10" t="s">
        <v>153</v>
      </c>
      <c r="F45" s="10" t="s">
        <v>145</v>
      </c>
      <c r="G45" s="10" t="s">
        <v>146</v>
      </c>
      <c r="H45" s="10" t="n">
        <v>19</v>
      </c>
      <c r="I45" s="10" t="s">
        <v>269</v>
      </c>
      <c r="J45" s="11" t="s">
        <v>270</v>
      </c>
      <c r="K45" s="12" t="n">
        <v>1</v>
      </c>
      <c r="L45" s="12" t="n">
        <v>1</v>
      </c>
      <c r="M45" s="12" t="n">
        <v>1</v>
      </c>
      <c r="N45" s="12" t="n">
        <v>1</v>
      </c>
      <c r="O45" s="10"/>
      <c r="P45" s="12" t="n">
        <v>1</v>
      </c>
      <c r="Q45" s="10"/>
      <c r="R45" s="10"/>
      <c r="S45" s="10"/>
      <c r="T45" s="10"/>
      <c r="U45" s="10"/>
      <c r="V45" s="12" t="n">
        <v>1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2" t="n">
        <v>1</v>
      </c>
      <c r="AM45" s="10"/>
      <c r="AN45" s="10"/>
      <c r="AO45" s="12" t="n">
        <v>1</v>
      </c>
      <c r="AP45" s="10"/>
      <c r="AQ45" s="10"/>
      <c r="AR45" s="10"/>
      <c r="AS45" s="10"/>
      <c r="AT45" s="12" t="n">
        <v>1</v>
      </c>
      <c r="AU45" s="10"/>
      <c r="AV45" s="10"/>
      <c r="AW45" s="10"/>
      <c r="AX45" s="10"/>
      <c r="AY45" s="12" t="n">
        <v>1</v>
      </c>
      <c r="AZ45" s="10"/>
      <c r="BA45" s="10"/>
      <c r="BB45" s="12" t="n">
        <v>1</v>
      </c>
      <c r="BC45" s="12" t="n">
        <v>1</v>
      </c>
      <c r="BD45" s="12" t="n">
        <v>1</v>
      </c>
      <c r="BE45" s="10"/>
      <c r="BF45" s="12" t="n">
        <v>1</v>
      </c>
      <c r="BG45" s="10"/>
      <c r="BH45" s="10"/>
      <c r="BI45" s="10"/>
      <c r="BJ45" s="12" t="n">
        <v>1</v>
      </c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2" t="n">
        <v>1</v>
      </c>
      <c r="CC45" s="10"/>
      <c r="CD45" s="12" t="n">
        <v>1</v>
      </c>
      <c r="CE45" s="10"/>
      <c r="CF45" s="12" t="n">
        <v>1</v>
      </c>
      <c r="CG45" s="10"/>
      <c r="CH45" s="10"/>
      <c r="CI45" s="10"/>
      <c r="CJ45" s="12" t="n">
        <v>1</v>
      </c>
    </row>
    <row r="46" customFormat="false" ht="15" hidden="false" customHeight="false" outlineLevel="0" collapsed="false">
      <c r="A46" s="10" t="n">
        <v>44</v>
      </c>
      <c r="B46" s="10" t="s">
        <v>271</v>
      </c>
      <c r="C46" s="10" t="s">
        <v>272</v>
      </c>
      <c r="D46" s="10" t="s">
        <v>123</v>
      </c>
      <c r="E46" s="10" t="s">
        <v>153</v>
      </c>
      <c r="F46" s="10" t="s">
        <v>145</v>
      </c>
      <c r="G46" s="10" t="s">
        <v>146</v>
      </c>
      <c r="H46" s="10" t="n">
        <v>12</v>
      </c>
      <c r="I46" s="10" t="s">
        <v>273</v>
      </c>
      <c r="J46" s="11"/>
      <c r="K46" s="12" t="n">
        <v>1</v>
      </c>
      <c r="L46" s="12" t="n">
        <v>1</v>
      </c>
      <c r="M46" s="12" t="n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2" t="n">
        <v>1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2" t="n">
        <v>1</v>
      </c>
      <c r="BE46" s="10"/>
      <c r="BF46" s="12" t="n">
        <v>1</v>
      </c>
      <c r="BG46" s="10"/>
      <c r="BH46" s="10"/>
      <c r="BI46" s="10"/>
      <c r="BJ46" s="12" t="n">
        <v>1</v>
      </c>
      <c r="BK46" s="10"/>
      <c r="BL46" s="10"/>
      <c r="BM46" s="10"/>
      <c r="BN46" s="10"/>
      <c r="BO46" s="10"/>
      <c r="BP46" s="10"/>
      <c r="BQ46" s="10"/>
      <c r="BR46" s="10"/>
      <c r="BS46" s="12" t="n">
        <v>1</v>
      </c>
      <c r="BT46" s="12" t="n">
        <v>1</v>
      </c>
      <c r="BU46" s="10"/>
      <c r="BV46" s="10"/>
      <c r="BW46" s="10"/>
      <c r="BX46" s="10"/>
      <c r="BY46" s="10"/>
      <c r="BZ46" s="10"/>
      <c r="CA46" s="10"/>
      <c r="CB46" s="12" t="n">
        <v>1</v>
      </c>
      <c r="CC46" s="10"/>
      <c r="CD46" s="12" t="n">
        <v>1</v>
      </c>
      <c r="CE46" s="10"/>
      <c r="CF46" s="10"/>
      <c r="CG46" s="10"/>
      <c r="CH46" s="10"/>
      <c r="CI46" s="10"/>
      <c r="CJ46" s="12" t="n">
        <v>1</v>
      </c>
    </row>
    <row r="47" customFormat="false" ht="32.8" hidden="false" customHeight="false" outlineLevel="0" collapsed="false">
      <c r="A47" s="10" t="n">
        <v>45</v>
      </c>
      <c r="B47" s="10" t="s">
        <v>274</v>
      </c>
      <c r="C47" s="10" t="s">
        <v>275</v>
      </c>
      <c r="D47" s="10" t="s">
        <v>123</v>
      </c>
      <c r="E47" s="10" t="s">
        <v>153</v>
      </c>
      <c r="F47" s="10" t="s">
        <v>145</v>
      </c>
      <c r="G47" s="10" t="s">
        <v>183</v>
      </c>
      <c r="H47" s="10" t="n">
        <v>11</v>
      </c>
      <c r="I47" s="10" t="s">
        <v>276</v>
      </c>
      <c r="J47" s="11" t="s">
        <v>277</v>
      </c>
      <c r="K47" s="12" t="n">
        <v>1</v>
      </c>
      <c r="L47" s="12" t="n">
        <v>1</v>
      </c>
      <c r="M47" s="10"/>
      <c r="N47" s="10"/>
      <c r="O47" s="10"/>
      <c r="P47" s="10"/>
      <c r="Q47" s="10"/>
      <c r="R47" s="12" t="n">
        <v>1</v>
      </c>
      <c r="S47" s="10"/>
      <c r="T47" s="10"/>
      <c r="U47" s="12" t="n">
        <v>1</v>
      </c>
      <c r="V47" s="12" t="n">
        <v>1</v>
      </c>
      <c r="W47" s="10"/>
      <c r="X47" s="10"/>
      <c r="Y47" s="10"/>
      <c r="Z47" s="10"/>
      <c r="AA47" s="10"/>
      <c r="AB47" s="10"/>
      <c r="AC47" s="10"/>
      <c r="AD47" s="12" t="n">
        <v>1</v>
      </c>
      <c r="AE47" s="10"/>
      <c r="AF47" s="10"/>
      <c r="AG47" s="10"/>
      <c r="AH47" s="10"/>
      <c r="AI47" s="10"/>
      <c r="AJ47" s="10"/>
      <c r="AK47" s="10"/>
      <c r="AL47" s="12" t="n">
        <v>1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2" t="n">
        <v>1</v>
      </c>
      <c r="BE47" s="10"/>
      <c r="BF47" s="12" t="n">
        <v>1</v>
      </c>
      <c r="BG47" s="10"/>
      <c r="BH47" s="10"/>
      <c r="BI47" s="10"/>
      <c r="BJ47" s="12" t="n">
        <v>1</v>
      </c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2" t="n">
        <v>1</v>
      </c>
      <c r="CF47" s="10"/>
      <c r="CG47" s="10"/>
      <c r="CH47" s="10"/>
      <c r="CI47" s="10"/>
      <c r="CJ47" s="10"/>
    </row>
    <row r="48" customFormat="false" ht="15" hidden="false" customHeight="false" outlineLevel="0" collapsed="false">
      <c r="A48" s="10" t="n">
        <v>46</v>
      </c>
      <c r="B48" s="10" t="s">
        <v>278</v>
      </c>
      <c r="C48" s="10" t="s">
        <v>279</v>
      </c>
      <c r="D48" s="10" t="s">
        <v>123</v>
      </c>
      <c r="E48" s="10" t="s">
        <v>153</v>
      </c>
      <c r="F48" s="10" t="s">
        <v>145</v>
      </c>
      <c r="G48" s="10" t="s">
        <v>146</v>
      </c>
      <c r="H48" s="10" t="n">
        <v>9</v>
      </c>
      <c r="I48" s="10" t="s">
        <v>280</v>
      </c>
      <c r="J48" s="11" t="s">
        <v>160</v>
      </c>
      <c r="K48" s="12" t="n">
        <v>1</v>
      </c>
      <c r="L48" s="12" t="n">
        <v>1</v>
      </c>
      <c r="M48" s="12" t="n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2" t="n">
        <v>1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2" t="n">
        <v>1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2" t="n">
        <v>1</v>
      </c>
      <c r="BE48" s="10"/>
      <c r="BF48" s="12" t="n">
        <v>1</v>
      </c>
      <c r="BG48" s="10"/>
      <c r="BH48" s="10"/>
      <c r="BI48" s="12" t="n">
        <v>1</v>
      </c>
      <c r="BJ48" s="12" t="n">
        <v>1</v>
      </c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</row>
    <row r="49" customFormat="false" ht="15" hidden="false" customHeight="false" outlineLevel="0" collapsed="false">
      <c r="A49" s="13" t="n">
        <v>47</v>
      </c>
      <c r="B49" s="13" t="s">
        <v>281</v>
      </c>
      <c r="C49" s="13" t="s">
        <v>282</v>
      </c>
      <c r="D49" s="13" t="s">
        <v>123</v>
      </c>
      <c r="E49" s="13" t="s">
        <v>153</v>
      </c>
      <c r="F49" s="13" t="s">
        <v>157</v>
      </c>
      <c r="G49" s="13"/>
      <c r="H49" s="13" t="n">
        <v>0</v>
      </c>
      <c r="I49" s="13"/>
      <c r="J49" s="14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</row>
    <row r="50" customFormat="false" ht="15" hidden="false" customHeight="false" outlineLevel="0" collapsed="false">
      <c r="A50" s="10" t="n">
        <v>48</v>
      </c>
      <c r="B50" s="10" t="s">
        <v>283</v>
      </c>
      <c r="C50" s="10" t="s">
        <v>284</v>
      </c>
      <c r="D50" s="10" t="s">
        <v>123</v>
      </c>
      <c r="E50" s="10" t="s">
        <v>153</v>
      </c>
      <c r="F50" s="10" t="s">
        <v>285</v>
      </c>
      <c r="G50" s="10" t="s">
        <v>146</v>
      </c>
      <c r="H50" s="10" t="n">
        <v>12</v>
      </c>
      <c r="I50" s="10" t="s">
        <v>286</v>
      </c>
      <c r="J50" s="11" t="s">
        <v>160</v>
      </c>
      <c r="K50" s="12" t="n">
        <v>1</v>
      </c>
      <c r="L50" s="12" t="n">
        <v>1</v>
      </c>
      <c r="M50" s="12" t="n">
        <v>1</v>
      </c>
      <c r="N50" s="12" t="n">
        <v>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2" t="n">
        <v>1</v>
      </c>
      <c r="AE50" s="10"/>
      <c r="AF50" s="10"/>
      <c r="AG50" s="10"/>
      <c r="AH50" s="10"/>
      <c r="AI50" s="10"/>
      <c r="AJ50" s="10"/>
      <c r="AK50" s="10"/>
      <c r="AL50" s="12" t="n">
        <v>1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2" t="n">
        <v>1</v>
      </c>
      <c r="BE50" s="10"/>
      <c r="BF50" s="12" t="n">
        <v>1</v>
      </c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2" t="n">
        <v>1</v>
      </c>
      <c r="BT50" s="10"/>
      <c r="BU50" s="10"/>
      <c r="BV50" s="10"/>
      <c r="BW50" s="10"/>
      <c r="BX50" s="10"/>
      <c r="BY50" s="10"/>
      <c r="BZ50" s="10"/>
      <c r="CA50" s="12" t="n">
        <v>1</v>
      </c>
      <c r="CB50" s="10"/>
      <c r="CC50" s="10"/>
      <c r="CD50" s="12" t="n">
        <v>1</v>
      </c>
      <c r="CE50" s="10"/>
      <c r="CF50" s="10"/>
      <c r="CG50" s="10"/>
      <c r="CH50" s="10"/>
      <c r="CI50" s="10"/>
      <c r="CJ50" s="12" t="n">
        <v>1</v>
      </c>
    </row>
    <row r="51" customFormat="false" ht="22.35" hidden="false" customHeight="false" outlineLevel="0" collapsed="false">
      <c r="A51" s="10" t="n">
        <v>49</v>
      </c>
      <c r="B51" s="10" t="s">
        <v>287</v>
      </c>
      <c r="C51" s="10" t="s">
        <v>288</v>
      </c>
      <c r="D51" s="10" t="s">
        <v>124</v>
      </c>
      <c r="E51" s="10" t="s">
        <v>153</v>
      </c>
      <c r="F51" s="10" t="s">
        <v>145</v>
      </c>
      <c r="G51" s="10" t="s">
        <v>150</v>
      </c>
      <c r="H51" s="10" t="n">
        <v>5</v>
      </c>
      <c r="I51" s="10"/>
      <c r="J51" s="11" t="s">
        <v>169</v>
      </c>
      <c r="K51" s="10"/>
      <c r="L51" s="12" t="n">
        <v>1</v>
      </c>
      <c r="M51" s="10"/>
      <c r="N51" s="10"/>
      <c r="O51" s="10"/>
      <c r="P51" s="10"/>
      <c r="Q51" s="10"/>
      <c r="R51" s="10"/>
      <c r="S51" s="10"/>
      <c r="T51" s="10"/>
      <c r="U51" s="12" t="n">
        <v>1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2" t="n">
        <v>1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2" t="n">
        <v>1</v>
      </c>
      <c r="BG51" s="12" t="n">
        <v>1</v>
      </c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</row>
    <row r="52" customFormat="false" ht="15" hidden="false" customHeight="false" outlineLevel="0" collapsed="false">
      <c r="A52" s="10" t="n">
        <v>50</v>
      </c>
      <c r="B52" s="10" t="s">
        <v>289</v>
      </c>
      <c r="C52" s="10" t="s">
        <v>290</v>
      </c>
      <c r="D52" s="10" t="s">
        <v>124</v>
      </c>
      <c r="E52" s="10" t="s">
        <v>153</v>
      </c>
      <c r="F52" s="10" t="s">
        <v>167</v>
      </c>
      <c r="G52" s="10" t="s">
        <v>146</v>
      </c>
      <c r="H52" s="10" t="n">
        <v>1</v>
      </c>
      <c r="I52" s="10"/>
      <c r="J52" s="1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2" t="n">
        <v>1</v>
      </c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</row>
    <row r="53" customFormat="false" ht="43.25" hidden="false" customHeight="false" outlineLevel="0" collapsed="false">
      <c r="A53" s="10" t="n">
        <v>51</v>
      </c>
      <c r="B53" s="10" t="s">
        <v>291</v>
      </c>
      <c r="C53" s="10" t="s">
        <v>292</v>
      </c>
      <c r="D53" s="10" t="s">
        <v>124</v>
      </c>
      <c r="E53" s="10" t="s">
        <v>153</v>
      </c>
      <c r="F53" s="10" t="s">
        <v>145</v>
      </c>
      <c r="G53" s="10" t="s">
        <v>146</v>
      </c>
      <c r="H53" s="10" t="n">
        <v>23</v>
      </c>
      <c r="I53" s="10" t="s">
        <v>293</v>
      </c>
      <c r="J53" s="11" t="s">
        <v>294</v>
      </c>
      <c r="K53" s="12" t="n">
        <v>1</v>
      </c>
      <c r="L53" s="12" t="n">
        <v>1</v>
      </c>
      <c r="M53" s="12" t="n">
        <v>1</v>
      </c>
      <c r="N53" s="10"/>
      <c r="O53" s="10"/>
      <c r="P53" s="12" t="n">
        <v>1</v>
      </c>
      <c r="Q53" s="12" t="n">
        <v>1</v>
      </c>
      <c r="R53" s="12" t="n">
        <v>1</v>
      </c>
      <c r="S53" s="10"/>
      <c r="T53" s="12" t="n">
        <v>1</v>
      </c>
      <c r="U53" s="12" t="n">
        <v>1</v>
      </c>
      <c r="V53" s="12" t="n">
        <v>1</v>
      </c>
      <c r="W53" s="10"/>
      <c r="X53" s="12" t="n">
        <v>1</v>
      </c>
      <c r="Y53" s="10"/>
      <c r="Z53" s="12" t="n">
        <v>1</v>
      </c>
      <c r="AA53" s="10"/>
      <c r="AB53" s="10"/>
      <c r="AC53" s="10"/>
      <c r="AD53" s="12" t="n">
        <v>1</v>
      </c>
      <c r="AE53" s="10"/>
      <c r="AF53" s="10"/>
      <c r="AG53" s="12" t="n">
        <v>1</v>
      </c>
      <c r="AH53" s="10"/>
      <c r="AI53" s="10"/>
      <c r="AJ53" s="10"/>
      <c r="AK53" s="10"/>
      <c r="AL53" s="12" t="n">
        <v>1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2" t="n">
        <v>1</v>
      </c>
      <c r="BE53" s="10"/>
      <c r="BF53" s="12" t="n">
        <v>1</v>
      </c>
      <c r="BG53" s="10"/>
      <c r="BH53" s="10"/>
      <c r="BI53" s="12" t="n">
        <v>1</v>
      </c>
      <c r="BJ53" s="12" t="n">
        <v>1</v>
      </c>
      <c r="BK53" s="10"/>
      <c r="BL53" s="10"/>
      <c r="BM53" s="10"/>
      <c r="BN53" s="12" t="n">
        <v>1</v>
      </c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2" t="n">
        <v>1</v>
      </c>
      <c r="BZ53" s="12" t="n">
        <v>1</v>
      </c>
      <c r="CA53" s="10"/>
      <c r="CB53" s="10"/>
      <c r="CC53" s="10"/>
      <c r="CD53" s="10"/>
      <c r="CE53" s="10"/>
      <c r="CF53" s="10"/>
      <c r="CG53" s="10"/>
      <c r="CH53" s="12" t="n">
        <v>1</v>
      </c>
      <c r="CI53" s="10"/>
      <c r="CJ53" s="12" t="n">
        <v>1</v>
      </c>
    </row>
    <row r="54" customFormat="false" ht="22.35" hidden="false" customHeight="false" outlineLevel="0" collapsed="false">
      <c r="A54" s="10" t="n">
        <v>52</v>
      </c>
      <c r="B54" s="10" t="s">
        <v>295</v>
      </c>
      <c r="C54" s="10" t="s">
        <v>296</v>
      </c>
      <c r="D54" s="10" t="s">
        <v>124</v>
      </c>
      <c r="E54" s="10" t="s">
        <v>153</v>
      </c>
      <c r="F54" s="10" t="s">
        <v>297</v>
      </c>
      <c r="G54" s="10" t="s">
        <v>150</v>
      </c>
      <c r="H54" s="10" t="n">
        <v>15</v>
      </c>
      <c r="I54" s="10" t="s">
        <v>298</v>
      </c>
      <c r="J54" s="11" t="s">
        <v>299</v>
      </c>
      <c r="K54" s="12" t="n">
        <v>1</v>
      </c>
      <c r="L54" s="12" t="n">
        <v>1</v>
      </c>
      <c r="M54" s="12" t="n">
        <v>1</v>
      </c>
      <c r="N54" s="10"/>
      <c r="O54" s="10"/>
      <c r="P54" s="10"/>
      <c r="Q54" s="10"/>
      <c r="R54" s="12" t="n">
        <v>1</v>
      </c>
      <c r="S54" s="10"/>
      <c r="T54" s="12" t="n">
        <v>1</v>
      </c>
      <c r="U54" s="12" t="n">
        <v>1</v>
      </c>
      <c r="V54" s="10"/>
      <c r="W54" s="10"/>
      <c r="X54" s="12" t="n">
        <v>1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2" t="n">
        <v>1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2" t="n">
        <v>1</v>
      </c>
      <c r="BE54" s="10"/>
      <c r="BF54" s="12" t="n">
        <v>1</v>
      </c>
      <c r="BG54" s="10"/>
      <c r="BH54" s="10"/>
      <c r="BI54" s="10"/>
      <c r="BJ54" s="12" t="n">
        <v>1</v>
      </c>
      <c r="BK54" s="12" t="n">
        <v>1</v>
      </c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2" t="n">
        <v>1</v>
      </c>
      <c r="CA54" s="10"/>
      <c r="CB54" s="10"/>
      <c r="CC54" s="12" t="n">
        <v>1</v>
      </c>
      <c r="CD54" s="10"/>
      <c r="CE54" s="12" t="n">
        <v>1</v>
      </c>
      <c r="CF54" s="10"/>
      <c r="CG54" s="10"/>
      <c r="CH54" s="10"/>
      <c r="CI54" s="10"/>
      <c r="CJ54" s="10"/>
    </row>
    <row r="55" customFormat="false" ht="15" hidden="false" customHeight="false" outlineLevel="0" collapsed="false">
      <c r="A55" s="10" t="n">
        <v>53</v>
      </c>
      <c r="B55" s="10" t="s">
        <v>300</v>
      </c>
      <c r="C55" s="10" t="s">
        <v>301</v>
      </c>
      <c r="D55" s="10" t="s">
        <v>124</v>
      </c>
      <c r="E55" s="10" t="s">
        <v>153</v>
      </c>
      <c r="F55" s="10" t="s">
        <v>145</v>
      </c>
      <c r="G55" s="10" t="s">
        <v>146</v>
      </c>
      <c r="H55" s="10" t="n">
        <v>7</v>
      </c>
      <c r="I55" s="10" t="s">
        <v>302</v>
      </c>
      <c r="J55" s="11"/>
      <c r="K55" s="12" t="n">
        <v>1</v>
      </c>
      <c r="L55" s="12" t="n">
        <v>1</v>
      </c>
      <c r="M55" s="12" t="n">
        <v>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2" t="n">
        <v>1</v>
      </c>
      <c r="BE55" s="10"/>
      <c r="BF55" s="12" t="n">
        <v>1</v>
      </c>
      <c r="BG55" s="10"/>
      <c r="BH55" s="10"/>
      <c r="BI55" s="10"/>
      <c r="BJ55" s="10"/>
      <c r="BK55" s="12" t="n">
        <v>1</v>
      </c>
      <c r="BL55" s="10"/>
      <c r="BM55" s="10"/>
      <c r="BN55" s="10"/>
      <c r="BO55" s="12" t="n">
        <v>1</v>
      </c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</row>
    <row r="56" customFormat="false" ht="15" hidden="false" customHeight="false" outlineLevel="0" collapsed="false">
      <c r="A56" s="10" t="n">
        <v>54</v>
      </c>
      <c r="B56" s="10" t="s">
        <v>303</v>
      </c>
      <c r="C56" s="10" t="s">
        <v>304</v>
      </c>
      <c r="D56" s="10" t="s">
        <v>123</v>
      </c>
      <c r="E56" s="10" t="s">
        <v>153</v>
      </c>
      <c r="F56" s="10" t="s">
        <v>285</v>
      </c>
      <c r="G56" s="10" t="s">
        <v>146</v>
      </c>
      <c r="H56" s="10" t="n">
        <v>6</v>
      </c>
      <c r="I56" s="10" t="s">
        <v>305</v>
      </c>
      <c r="J56" s="11"/>
      <c r="K56" s="12" t="n">
        <v>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2" t="n">
        <v>1</v>
      </c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2" t="n">
        <v>1</v>
      </c>
      <c r="BE56" s="10"/>
      <c r="BF56" s="12" t="n">
        <v>1</v>
      </c>
      <c r="BG56" s="10"/>
      <c r="BH56" s="10"/>
      <c r="BI56" s="10"/>
      <c r="BJ56" s="12" t="n">
        <v>1</v>
      </c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2" t="n">
        <v>1</v>
      </c>
      <c r="CE56" s="10"/>
      <c r="CF56" s="10"/>
      <c r="CG56" s="10"/>
      <c r="CH56" s="10"/>
      <c r="CI56" s="10"/>
      <c r="CJ56" s="10"/>
    </row>
    <row r="57" customFormat="false" ht="15" hidden="false" customHeight="false" outlineLevel="0" collapsed="false">
      <c r="A57" s="10" t="n">
        <v>55</v>
      </c>
      <c r="B57" s="10" t="s">
        <v>306</v>
      </c>
      <c r="C57" s="10" t="s">
        <v>307</v>
      </c>
      <c r="D57" s="10" t="s">
        <v>124</v>
      </c>
      <c r="E57" s="10" t="s">
        <v>153</v>
      </c>
      <c r="F57" s="10" t="s">
        <v>167</v>
      </c>
      <c r="G57" s="10" t="s">
        <v>183</v>
      </c>
      <c r="H57" s="10" t="n">
        <v>1</v>
      </c>
      <c r="I57" s="10"/>
      <c r="J57" s="1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2" t="n">
        <v>1</v>
      </c>
    </row>
    <row r="58" customFormat="false" ht="15" hidden="false" customHeight="false" outlineLevel="0" collapsed="false">
      <c r="A58" s="10" t="n">
        <v>56</v>
      </c>
      <c r="B58" s="10" t="s">
        <v>308</v>
      </c>
      <c r="C58" s="10" t="s">
        <v>309</v>
      </c>
      <c r="D58" s="10" t="s">
        <v>125</v>
      </c>
      <c r="E58" s="10" t="s">
        <v>153</v>
      </c>
      <c r="F58" s="10" t="s">
        <v>145</v>
      </c>
      <c r="G58" s="10" t="s">
        <v>150</v>
      </c>
      <c r="H58" s="10" t="n">
        <v>3</v>
      </c>
      <c r="I58" s="10"/>
      <c r="J58" s="1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2" t="n">
        <v>1</v>
      </c>
      <c r="BG58" s="12" t="n">
        <v>1</v>
      </c>
      <c r="BH58" s="10"/>
      <c r="BI58" s="10"/>
      <c r="BJ58" s="10"/>
      <c r="BK58" s="12" t="n">
        <v>1</v>
      </c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</row>
    <row r="59" customFormat="false" ht="15" hidden="false" customHeight="false" outlineLevel="0" collapsed="false">
      <c r="A59" s="13" t="n">
        <v>57</v>
      </c>
      <c r="B59" s="13" t="s">
        <v>310</v>
      </c>
      <c r="C59" s="13" t="s">
        <v>311</v>
      </c>
      <c r="D59" s="13" t="s">
        <v>125</v>
      </c>
      <c r="E59" s="13" t="s">
        <v>153</v>
      </c>
      <c r="F59" s="13" t="s">
        <v>157</v>
      </c>
      <c r="G59" s="13"/>
      <c r="H59" s="13" t="n">
        <v>0</v>
      </c>
      <c r="I59" s="13"/>
      <c r="J59" s="14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</row>
    <row r="60" customFormat="false" ht="32.8" hidden="false" customHeight="false" outlineLevel="0" collapsed="false">
      <c r="A60" s="10" t="n">
        <v>58</v>
      </c>
      <c r="B60" s="10" t="s">
        <v>312</v>
      </c>
      <c r="C60" s="10" t="s">
        <v>313</v>
      </c>
      <c r="D60" s="10" t="s">
        <v>125</v>
      </c>
      <c r="E60" s="10" t="s">
        <v>153</v>
      </c>
      <c r="F60" s="10" t="s">
        <v>145</v>
      </c>
      <c r="G60" s="10" t="s">
        <v>146</v>
      </c>
      <c r="H60" s="10" t="n">
        <v>15</v>
      </c>
      <c r="I60" s="10"/>
      <c r="J60" s="11" t="s">
        <v>314</v>
      </c>
      <c r="K60" s="12" t="n">
        <v>1</v>
      </c>
      <c r="L60" s="10"/>
      <c r="M60" s="10"/>
      <c r="N60" s="10"/>
      <c r="O60" s="10"/>
      <c r="P60" s="10"/>
      <c r="Q60" s="10"/>
      <c r="R60" s="10"/>
      <c r="S60" s="10"/>
      <c r="T60" s="12" t="n">
        <v>1</v>
      </c>
      <c r="U60" s="10"/>
      <c r="V60" s="12" t="n">
        <v>1</v>
      </c>
      <c r="W60" s="10"/>
      <c r="X60" s="12" t="n">
        <v>1</v>
      </c>
      <c r="Y60" s="10"/>
      <c r="Z60" s="12" t="n">
        <v>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2" t="n">
        <v>1</v>
      </c>
      <c r="AM60" s="10"/>
      <c r="AN60" s="10"/>
      <c r="AO60" s="10"/>
      <c r="AP60" s="10"/>
      <c r="AQ60" s="10"/>
      <c r="AR60" s="10"/>
      <c r="AS60" s="12" t="n">
        <v>1</v>
      </c>
      <c r="AT60" s="12" t="n">
        <v>1</v>
      </c>
      <c r="AU60" s="10"/>
      <c r="AV60" s="10"/>
      <c r="AW60" s="10"/>
      <c r="AX60" s="10"/>
      <c r="AY60" s="10"/>
      <c r="AZ60" s="10"/>
      <c r="BA60" s="12" t="n">
        <v>1</v>
      </c>
      <c r="BB60" s="10"/>
      <c r="BC60" s="10"/>
      <c r="BD60" s="10"/>
      <c r="BE60" s="12" t="n">
        <v>1</v>
      </c>
      <c r="BF60" s="12" t="n">
        <v>1</v>
      </c>
      <c r="BG60" s="12" t="n">
        <v>1</v>
      </c>
      <c r="BH60" s="10"/>
      <c r="BI60" s="10"/>
      <c r="BJ60" s="10"/>
      <c r="BK60" s="12" t="n">
        <v>1</v>
      </c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2" t="n">
        <v>1</v>
      </c>
      <c r="CA60" s="10"/>
      <c r="CB60" s="10"/>
      <c r="CC60" s="10"/>
      <c r="CD60" s="10"/>
      <c r="CE60" s="10"/>
      <c r="CF60" s="10"/>
      <c r="CG60" s="10"/>
      <c r="CH60" s="12" t="n">
        <v>1</v>
      </c>
      <c r="CI60" s="10"/>
      <c r="CJ60" s="10"/>
    </row>
    <row r="61" customFormat="false" ht="22.35" hidden="false" customHeight="false" outlineLevel="0" collapsed="false">
      <c r="A61" s="10" t="n">
        <v>59</v>
      </c>
      <c r="B61" s="10" t="s">
        <v>315</v>
      </c>
      <c r="C61" s="10" t="s">
        <v>316</v>
      </c>
      <c r="D61" s="10" t="s">
        <v>125</v>
      </c>
      <c r="E61" s="10" t="s">
        <v>153</v>
      </c>
      <c r="F61" s="10" t="s">
        <v>167</v>
      </c>
      <c r="G61" s="10" t="s">
        <v>150</v>
      </c>
      <c r="H61" s="10" t="n">
        <v>12</v>
      </c>
      <c r="I61" s="10" t="s">
        <v>317</v>
      </c>
      <c r="J61" s="11" t="s">
        <v>318</v>
      </c>
      <c r="K61" s="12" t="n">
        <v>1</v>
      </c>
      <c r="L61" s="12" t="n">
        <v>1</v>
      </c>
      <c r="M61" s="12" t="n">
        <v>1</v>
      </c>
      <c r="N61" s="10"/>
      <c r="O61" s="10"/>
      <c r="P61" s="10"/>
      <c r="Q61" s="12" t="n">
        <v>1</v>
      </c>
      <c r="R61" s="12" t="n">
        <v>1</v>
      </c>
      <c r="S61" s="10"/>
      <c r="T61" s="10"/>
      <c r="U61" s="10"/>
      <c r="V61" s="10"/>
      <c r="W61" s="10"/>
      <c r="X61" s="10"/>
      <c r="Y61" s="10"/>
      <c r="Z61" s="12" t="n">
        <v>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2" t="n">
        <v>1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2" t="n">
        <v>1</v>
      </c>
      <c r="BC61" s="10"/>
      <c r="BD61" s="12" t="n">
        <v>1</v>
      </c>
      <c r="BE61" s="10"/>
      <c r="BF61" s="12" t="n">
        <v>1</v>
      </c>
      <c r="BG61" s="10"/>
      <c r="BH61" s="10"/>
      <c r="BI61" s="10"/>
      <c r="BJ61" s="12" t="n">
        <v>1</v>
      </c>
      <c r="BK61" s="10"/>
      <c r="BL61" s="10"/>
      <c r="BM61" s="10"/>
      <c r="BN61" s="10"/>
      <c r="BO61" s="10"/>
      <c r="BP61" s="10"/>
      <c r="BQ61" s="10"/>
      <c r="BR61" s="12" t="n">
        <v>1</v>
      </c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</row>
    <row r="62" customFormat="false" ht="15" hidden="false" customHeight="false" outlineLevel="0" collapsed="false">
      <c r="A62" s="10" t="n">
        <v>60</v>
      </c>
      <c r="B62" s="10" t="s">
        <v>319</v>
      </c>
      <c r="C62" s="10" t="s">
        <v>320</v>
      </c>
      <c r="D62" s="10" t="s">
        <v>125</v>
      </c>
      <c r="E62" s="10" t="s">
        <v>153</v>
      </c>
      <c r="F62" s="10" t="s">
        <v>145</v>
      </c>
      <c r="G62" s="10" t="s">
        <v>146</v>
      </c>
      <c r="H62" s="10" t="n">
        <v>13</v>
      </c>
      <c r="I62" s="10" t="s">
        <v>321</v>
      </c>
      <c r="J62" s="11" t="s">
        <v>160</v>
      </c>
      <c r="K62" s="12" t="n">
        <v>1</v>
      </c>
      <c r="L62" s="12" t="n">
        <v>1</v>
      </c>
      <c r="M62" s="12" t="n">
        <v>1</v>
      </c>
      <c r="N62" s="12" t="n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2" t="n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2" t="n">
        <v>1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2" t="n">
        <v>1</v>
      </c>
      <c r="BE62" s="10"/>
      <c r="BF62" s="12" t="n">
        <v>1</v>
      </c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2" t="n">
        <v>1</v>
      </c>
      <c r="BU62" s="10"/>
      <c r="BV62" s="10"/>
      <c r="BW62" s="10"/>
      <c r="BX62" s="10"/>
      <c r="BY62" s="10"/>
      <c r="BZ62" s="10"/>
      <c r="CA62" s="10"/>
      <c r="CB62" s="10"/>
      <c r="CC62" s="12" t="n">
        <v>1</v>
      </c>
      <c r="CD62" s="10"/>
      <c r="CE62" s="12" t="n">
        <v>1</v>
      </c>
      <c r="CF62" s="10"/>
      <c r="CG62" s="12" t="n">
        <v>1</v>
      </c>
      <c r="CH62" s="10"/>
      <c r="CI62" s="10"/>
      <c r="CJ62" s="12" t="n">
        <v>1</v>
      </c>
    </row>
    <row r="63" customFormat="false" ht="15" hidden="false" customHeight="false" outlineLevel="0" collapsed="false">
      <c r="A63" s="10" t="n">
        <v>61</v>
      </c>
      <c r="B63" s="10" t="s">
        <v>322</v>
      </c>
      <c r="C63" s="10" t="s">
        <v>323</v>
      </c>
      <c r="D63" s="10" t="s">
        <v>125</v>
      </c>
      <c r="E63" s="10" t="s">
        <v>153</v>
      </c>
      <c r="F63" s="10" t="s">
        <v>145</v>
      </c>
      <c r="G63" s="10" t="s">
        <v>146</v>
      </c>
      <c r="H63" s="10" t="n">
        <v>5</v>
      </c>
      <c r="I63" s="10"/>
      <c r="J63" s="11" t="s">
        <v>262</v>
      </c>
      <c r="K63" s="12" t="n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2" t="n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2" t="n">
        <v>1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2" t="n">
        <v>1</v>
      </c>
      <c r="BE63" s="10"/>
      <c r="BF63" s="12" t="n">
        <v>1</v>
      </c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</row>
    <row r="64" customFormat="false" ht="22.35" hidden="false" customHeight="false" outlineLevel="0" collapsed="false">
      <c r="A64" s="10" t="n">
        <v>62</v>
      </c>
      <c r="B64" s="10" t="s">
        <v>324</v>
      </c>
      <c r="C64" s="10" t="s">
        <v>325</v>
      </c>
      <c r="D64" s="10" t="s">
        <v>125</v>
      </c>
      <c r="E64" s="10" t="s">
        <v>153</v>
      </c>
      <c r="F64" s="10" t="s">
        <v>145</v>
      </c>
      <c r="G64" s="10" t="s">
        <v>146</v>
      </c>
      <c r="H64" s="10" t="n">
        <v>12</v>
      </c>
      <c r="I64" s="10" t="s">
        <v>326</v>
      </c>
      <c r="J64" s="11" t="s">
        <v>327</v>
      </c>
      <c r="K64" s="12" t="n">
        <v>1</v>
      </c>
      <c r="L64" s="12" t="n">
        <v>1</v>
      </c>
      <c r="M64" s="12" t="n">
        <v>1</v>
      </c>
      <c r="N64" s="10"/>
      <c r="O64" s="10"/>
      <c r="P64" s="10"/>
      <c r="Q64" s="10"/>
      <c r="R64" s="10"/>
      <c r="S64" s="10"/>
      <c r="T64" s="10"/>
      <c r="U64" s="12" t="n">
        <v>1</v>
      </c>
      <c r="V64" s="10"/>
      <c r="W64" s="10"/>
      <c r="X64" s="10"/>
      <c r="Y64" s="10"/>
      <c r="Z64" s="10"/>
      <c r="AA64" s="10"/>
      <c r="AB64" s="10"/>
      <c r="AC64" s="10"/>
      <c r="AD64" s="12" t="n">
        <v>1</v>
      </c>
      <c r="AE64" s="10"/>
      <c r="AF64" s="10"/>
      <c r="AG64" s="10"/>
      <c r="AH64" s="10"/>
      <c r="AI64" s="10"/>
      <c r="AJ64" s="10"/>
      <c r="AK64" s="10"/>
      <c r="AL64" s="12" t="n">
        <v>1</v>
      </c>
      <c r="AM64" s="12" t="n">
        <v>1</v>
      </c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2" t="n">
        <v>1</v>
      </c>
      <c r="BE64" s="10"/>
      <c r="BF64" s="12" t="n">
        <v>1</v>
      </c>
      <c r="BG64" s="10"/>
      <c r="BH64" s="10"/>
      <c r="BI64" s="10"/>
      <c r="BJ64" s="12" t="n">
        <v>1</v>
      </c>
      <c r="BK64" s="10"/>
      <c r="BL64" s="10"/>
      <c r="BM64" s="10"/>
      <c r="BN64" s="12" t="n">
        <v>1</v>
      </c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2" t="n">
        <v>1</v>
      </c>
    </row>
    <row r="65" customFormat="false" ht="22.35" hidden="false" customHeight="false" outlineLevel="0" collapsed="false">
      <c r="A65" s="10" t="n">
        <v>63</v>
      </c>
      <c r="B65" s="10" t="s">
        <v>328</v>
      </c>
      <c r="C65" s="10" t="s">
        <v>329</v>
      </c>
      <c r="D65" s="10" t="s">
        <v>126</v>
      </c>
      <c r="E65" s="10" t="s">
        <v>144</v>
      </c>
      <c r="F65" s="10" t="s">
        <v>285</v>
      </c>
      <c r="G65" s="10" t="s">
        <v>146</v>
      </c>
      <c r="H65" s="10" t="n">
        <v>21</v>
      </c>
      <c r="I65" s="10" t="s">
        <v>330</v>
      </c>
      <c r="J65" s="11" t="s">
        <v>327</v>
      </c>
      <c r="K65" s="12" t="n">
        <v>1</v>
      </c>
      <c r="L65" s="12" t="n">
        <v>1</v>
      </c>
      <c r="M65" s="12" t="n">
        <v>1</v>
      </c>
      <c r="N65" s="12" t="n">
        <v>1</v>
      </c>
      <c r="O65" s="10"/>
      <c r="P65" s="10"/>
      <c r="Q65" s="12" t="n">
        <v>1</v>
      </c>
      <c r="R65" s="12" t="n">
        <v>1</v>
      </c>
      <c r="S65" s="10"/>
      <c r="T65" s="12" t="n">
        <v>1</v>
      </c>
      <c r="U65" s="12" t="n">
        <v>1</v>
      </c>
      <c r="V65" s="10"/>
      <c r="W65" s="10"/>
      <c r="X65" s="10"/>
      <c r="Y65" s="10"/>
      <c r="Z65" s="10"/>
      <c r="AA65" s="10"/>
      <c r="AB65" s="10"/>
      <c r="AC65" s="12" t="n">
        <v>1</v>
      </c>
      <c r="AD65" s="12" t="n">
        <v>1</v>
      </c>
      <c r="AE65" s="12" t="n">
        <v>1</v>
      </c>
      <c r="AF65" s="10"/>
      <c r="AG65" s="10"/>
      <c r="AH65" s="10"/>
      <c r="AI65" s="10"/>
      <c r="AJ65" s="10"/>
      <c r="AK65" s="10"/>
      <c r="AL65" s="12" t="n">
        <v>1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2" t="n">
        <v>1</v>
      </c>
      <c r="BB65" s="10"/>
      <c r="BC65" s="10"/>
      <c r="BD65" s="12" t="n">
        <v>1</v>
      </c>
      <c r="BE65" s="10"/>
      <c r="BF65" s="12" t="n">
        <v>1</v>
      </c>
      <c r="BG65" s="12" t="n">
        <v>1</v>
      </c>
      <c r="BH65" s="10"/>
      <c r="BI65" s="12" t="n">
        <v>1</v>
      </c>
      <c r="BJ65" s="10"/>
      <c r="BK65" s="12" t="n">
        <v>1</v>
      </c>
      <c r="BL65" s="10"/>
      <c r="BM65" s="10"/>
      <c r="BN65" s="12" t="n">
        <v>1</v>
      </c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2" t="n">
        <v>1</v>
      </c>
      <c r="BZ65" s="12" t="n">
        <v>1</v>
      </c>
      <c r="CA65" s="10"/>
      <c r="CB65" s="10"/>
      <c r="CC65" s="10"/>
      <c r="CD65" s="10"/>
      <c r="CE65" s="10"/>
      <c r="CF65" s="10"/>
      <c r="CG65" s="10"/>
      <c r="CH65" s="10"/>
      <c r="CI65" s="10"/>
      <c r="CJ65" s="10"/>
    </row>
    <row r="66" customFormat="false" ht="43.25" hidden="false" customHeight="false" outlineLevel="0" collapsed="false">
      <c r="A66" s="10" t="n">
        <v>64</v>
      </c>
      <c r="B66" s="10" t="s">
        <v>331</v>
      </c>
      <c r="C66" s="10" t="s">
        <v>332</v>
      </c>
      <c r="D66" s="10" t="s">
        <v>126</v>
      </c>
      <c r="E66" s="10" t="s">
        <v>153</v>
      </c>
      <c r="F66" s="10" t="s">
        <v>145</v>
      </c>
      <c r="G66" s="10" t="s">
        <v>146</v>
      </c>
      <c r="H66" s="10" t="n">
        <v>20</v>
      </c>
      <c r="I66" s="10" t="s">
        <v>333</v>
      </c>
      <c r="J66" s="11" t="s">
        <v>334</v>
      </c>
      <c r="K66" s="12" t="n">
        <v>1</v>
      </c>
      <c r="L66" s="12" t="n">
        <v>1</v>
      </c>
      <c r="M66" s="12" t="n">
        <v>1</v>
      </c>
      <c r="N66" s="12" t="n">
        <v>1</v>
      </c>
      <c r="O66" s="10"/>
      <c r="P66" s="10"/>
      <c r="Q66" s="10"/>
      <c r="R66" s="12" t="n">
        <v>1</v>
      </c>
      <c r="S66" s="10"/>
      <c r="T66" s="12" t="n">
        <v>1</v>
      </c>
      <c r="U66" s="12" t="n">
        <v>1</v>
      </c>
      <c r="V66" s="10"/>
      <c r="W66" s="10"/>
      <c r="X66" s="10"/>
      <c r="Y66" s="10"/>
      <c r="Z66" s="12" t="n">
        <v>1</v>
      </c>
      <c r="AA66" s="10"/>
      <c r="AB66" s="10"/>
      <c r="AC66" s="10"/>
      <c r="AD66" s="10"/>
      <c r="AE66" s="10"/>
      <c r="AF66" s="10"/>
      <c r="AG66" s="12" t="n">
        <v>1</v>
      </c>
      <c r="AH66" s="10"/>
      <c r="AI66" s="10"/>
      <c r="AJ66" s="10"/>
      <c r="AK66" s="10"/>
      <c r="AL66" s="12" t="n">
        <v>1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2" t="n">
        <v>1</v>
      </c>
      <c r="BC66" s="10"/>
      <c r="BD66" s="12" t="n">
        <v>1</v>
      </c>
      <c r="BE66" s="10"/>
      <c r="BF66" s="12" t="n">
        <v>1</v>
      </c>
      <c r="BG66" s="12" t="n">
        <v>1</v>
      </c>
      <c r="BH66" s="10"/>
      <c r="BI66" s="10"/>
      <c r="BJ66" s="12" t="n">
        <v>1</v>
      </c>
      <c r="BK66" s="12" t="n">
        <v>1</v>
      </c>
      <c r="BL66" s="10"/>
      <c r="BM66" s="10"/>
      <c r="BN66" s="10"/>
      <c r="BO66" s="12" t="n">
        <v>1</v>
      </c>
      <c r="BP66" s="10"/>
      <c r="BQ66" s="10"/>
      <c r="BR66" s="10"/>
      <c r="BS66" s="10"/>
      <c r="BT66" s="10"/>
      <c r="BU66" s="10"/>
      <c r="BV66" s="10"/>
      <c r="BW66" s="12" t="n">
        <v>1</v>
      </c>
      <c r="BX66" s="10"/>
      <c r="BY66" s="10"/>
      <c r="BZ66" s="10"/>
      <c r="CA66" s="10"/>
      <c r="CB66" s="10"/>
      <c r="CC66" s="10"/>
      <c r="CD66" s="10"/>
      <c r="CE66" s="12" t="n">
        <v>1</v>
      </c>
      <c r="CF66" s="10"/>
      <c r="CG66" s="10"/>
      <c r="CH66" s="10"/>
      <c r="CI66" s="10"/>
      <c r="CJ66" s="12" t="n">
        <v>1</v>
      </c>
    </row>
    <row r="67" customFormat="false" ht="15" hidden="false" customHeight="false" outlineLevel="0" collapsed="false">
      <c r="A67" s="10" t="n">
        <v>65</v>
      </c>
      <c r="B67" s="10" t="s">
        <v>335</v>
      </c>
      <c r="C67" s="10" t="s">
        <v>336</v>
      </c>
      <c r="D67" s="10" t="s">
        <v>126</v>
      </c>
      <c r="E67" s="10" t="s">
        <v>153</v>
      </c>
      <c r="F67" s="10" t="s">
        <v>145</v>
      </c>
      <c r="G67" s="10" t="s">
        <v>150</v>
      </c>
      <c r="H67" s="10" t="n">
        <v>2</v>
      </c>
      <c r="I67" s="10"/>
      <c r="J67" s="1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2" t="n">
        <v>1</v>
      </c>
      <c r="BG67" s="10"/>
      <c r="BH67" s="10"/>
      <c r="BI67" s="10"/>
      <c r="BJ67" s="10"/>
      <c r="BK67" s="12" t="n">
        <v>1</v>
      </c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</row>
    <row r="68" customFormat="false" ht="15" hidden="false" customHeight="false" outlineLevel="0" collapsed="false">
      <c r="A68" s="10" t="n">
        <v>66</v>
      </c>
      <c r="B68" s="10" t="s">
        <v>337</v>
      </c>
      <c r="C68" s="10" t="s">
        <v>338</v>
      </c>
      <c r="D68" s="10" t="s">
        <v>126</v>
      </c>
      <c r="E68" s="10" t="s">
        <v>153</v>
      </c>
      <c r="F68" s="10" t="s">
        <v>145</v>
      </c>
      <c r="G68" s="10" t="s">
        <v>146</v>
      </c>
      <c r="H68" s="10" t="n">
        <v>7</v>
      </c>
      <c r="I68" s="10"/>
      <c r="J68" s="11"/>
      <c r="K68" s="12" t="n">
        <v>1</v>
      </c>
      <c r="L68" s="10"/>
      <c r="M68" s="12" t="n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2" t="n">
        <v>1</v>
      </c>
      <c r="BG68" s="10"/>
      <c r="BH68" s="10"/>
      <c r="BI68" s="10"/>
      <c r="BJ68" s="12" t="n">
        <v>1</v>
      </c>
      <c r="BK68" s="12" t="n">
        <v>1</v>
      </c>
      <c r="BL68" s="10"/>
      <c r="BM68" s="10"/>
      <c r="BN68" s="10"/>
      <c r="BO68" s="10"/>
      <c r="BP68" s="10"/>
      <c r="BQ68" s="10"/>
      <c r="BR68" s="10"/>
      <c r="BS68" s="12" t="n">
        <v>1</v>
      </c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2" t="n">
        <v>1</v>
      </c>
      <c r="CE68" s="10"/>
      <c r="CF68" s="10"/>
      <c r="CG68" s="10"/>
      <c r="CH68" s="10"/>
      <c r="CI68" s="10"/>
      <c r="CJ68" s="10"/>
    </row>
    <row r="69" customFormat="false" ht="32.8" hidden="false" customHeight="false" outlineLevel="0" collapsed="false">
      <c r="A69" s="10" t="n">
        <v>67</v>
      </c>
      <c r="B69" s="10" t="s">
        <v>339</v>
      </c>
      <c r="C69" s="10" t="s">
        <v>340</v>
      </c>
      <c r="D69" s="10" t="s">
        <v>126</v>
      </c>
      <c r="E69" s="10" t="s">
        <v>153</v>
      </c>
      <c r="F69" s="10" t="s">
        <v>145</v>
      </c>
      <c r="G69" s="10" t="s">
        <v>146</v>
      </c>
      <c r="H69" s="10" t="n">
        <v>21</v>
      </c>
      <c r="I69" s="10" t="s">
        <v>341</v>
      </c>
      <c r="J69" s="11" t="s">
        <v>314</v>
      </c>
      <c r="K69" s="12" t="n">
        <v>1</v>
      </c>
      <c r="L69" s="12" t="n">
        <v>1</v>
      </c>
      <c r="M69" s="12" t="n">
        <v>1</v>
      </c>
      <c r="N69" s="10"/>
      <c r="O69" s="10"/>
      <c r="P69" s="10"/>
      <c r="Q69" s="12" t="n">
        <v>1</v>
      </c>
      <c r="R69" s="12" t="n">
        <v>1</v>
      </c>
      <c r="S69" s="10"/>
      <c r="T69" s="10"/>
      <c r="U69" s="12" t="n">
        <v>1</v>
      </c>
      <c r="V69" s="12" t="n">
        <v>1</v>
      </c>
      <c r="W69" s="10"/>
      <c r="X69" s="12" t="n">
        <v>1</v>
      </c>
      <c r="Y69" s="10"/>
      <c r="Z69" s="12" t="n">
        <v>1</v>
      </c>
      <c r="AA69" s="10"/>
      <c r="AB69" s="10"/>
      <c r="AC69" s="10"/>
      <c r="AD69" s="12" t="n">
        <v>1</v>
      </c>
      <c r="AE69" s="12" t="n">
        <v>1</v>
      </c>
      <c r="AF69" s="10"/>
      <c r="AG69" s="10"/>
      <c r="AH69" s="10"/>
      <c r="AI69" s="10"/>
      <c r="AJ69" s="10"/>
      <c r="AK69" s="10"/>
      <c r="AL69" s="12" t="n">
        <v>1</v>
      </c>
      <c r="AM69" s="12" t="n">
        <v>1</v>
      </c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2" t="n">
        <v>1</v>
      </c>
      <c r="BE69" s="10"/>
      <c r="BF69" s="12" t="n">
        <v>1</v>
      </c>
      <c r="BG69" s="10"/>
      <c r="BH69" s="10"/>
      <c r="BI69" s="10"/>
      <c r="BJ69" s="12" t="n">
        <v>1</v>
      </c>
      <c r="BK69" s="10"/>
      <c r="BL69" s="10"/>
      <c r="BM69" s="10"/>
      <c r="BN69" s="12" t="n">
        <v>1</v>
      </c>
      <c r="BO69" s="10"/>
      <c r="BP69" s="10"/>
      <c r="BQ69" s="10"/>
      <c r="BR69" s="10"/>
      <c r="BS69" s="12" t="n">
        <v>1</v>
      </c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2" t="n">
        <v>1</v>
      </c>
      <c r="CF69" s="10"/>
      <c r="CG69" s="10"/>
      <c r="CH69" s="12" t="n">
        <v>1</v>
      </c>
      <c r="CI69" s="10"/>
      <c r="CJ69" s="12" t="n">
        <v>1</v>
      </c>
    </row>
    <row r="70" customFormat="false" ht="15" hidden="false" customHeight="false" outlineLevel="0" collapsed="false">
      <c r="A70" s="13" t="n">
        <v>68</v>
      </c>
      <c r="B70" s="13" t="s">
        <v>342</v>
      </c>
      <c r="C70" s="13" t="s">
        <v>343</v>
      </c>
      <c r="D70" s="13" t="s">
        <v>126</v>
      </c>
      <c r="E70" s="13" t="s">
        <v>153</v>
      </c>
      <c r="F70" s="13" t="s">
        <v>157</v>
      </c>
      <c r="G70" s="13"/>
      <c r="H70" s="13" t="n">
        <v>0</v>
      </c>
      <c r="I70" s="13"/>
      <c r="J70" s="14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</row>
    <row r="71" customFormat="false" ht="15" hidden="false" customHeight="false" outlineLevel="0" collapsed="false">
      <c r="A71" s="13" t="n">
        <v>69</v>
      </c>
      <c r="B71" s="13" t="s">
        <v>344</v>
      </c>
      <c r="C71" s="13" t="s">
        <v>345</v>
      </c>
      <c r="D71" s="13" t="s">
        <v>126</v>
      </c>
      <c r="E71" s="13" t="s">
        <v>153</v>
      </c>
      <c r="F71" s="13" t="s">
        <v>157</v>
      </c>
      <c r="G71" s="13"/>
      <c r="H71" s="13" t="n">
        <v>0</v>
      </c>
      <c r="I71" s="13"/>
      <c r="J71" s="14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</row>
    <row r="72" customFormat="false" ht="15" hidden="false" customHeight="false" outlineLevel="0" collapsed="false">
      <c r="A72" s="13" t="n">
        <v>70</v>
      </c>
      <c r="B72" s="13" t="s">
        <v>346</v>
      </c>
      <c r="C72" s="13" t="s">
        <v>347</v>
      </c>
      <c r="D72" s="13" t="s">
        <v>118</v>
      </c>
      <c r="E72" s="13" t="s">
        <v>153</v>
      </c>
      <c r="F72" s="13" t="s">
        <v>157</v>
      </c>
      <c r="G72" s="13"/>
      <c r="H72" s="13" t="n">
        <v>0</v>
      </c>
      <c r="I72" s="13"/>
      <c r="J72" s="14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</row>
    <row r="73" customFormat="false" ht="22.35" hidden="false" customHeight="false" outlineLevel="0" collapsed="false">
      <c r="A73" s="10" t="n">
        <v>71</v>
      </c>
      <c r="B73" s="10" t="s">
        <v>348</v>
      </c>
      <c r="C73" s="10" t="s">
        <v>349</v>
      </c>
      <c r="D73" s="10" t="s">
        <v>127</v>
      </c>
      <c r="E73" s="10" t="s">
        <v>144</v>
      </c>
      <c r="F73" s="10" t="s">
        <v>145</v>
      </c>
      <c r="G73" s="10" t="s">
        <v>146</v>
      </c>
      <c r="H73" s="10" t="n">
        <v>12</v>
      </c>
      <c r="I73" s="10" t="s">
        <v>350</v>
      </c>
      <c r="J73" s="11" t="s">
        <v>248</v>
      </c>
      <c r="K73" s="12" t="n">
        <v>1</v>
      </c>
      <c r="L73" s="12" t="n">
        <v>1</v>
      </c>
      <c r="M73" s="10"/>
      <c r="N73" s="10"/>
      <c r="O73" s="10"/>
      <c r="P73" s="10"/>
      <c r="Q73" s="10"/>
      <c r="R73" s="12" t="n">
        <v>1</v>
      </c>
      <c r="S73" s="10"/>
      <c r="T73" s="10"/>
      <c r="U73" s="12" t="n">
        <v>1</v>
      </c>
      <c r="V73" s="12" t="n">
        <v>1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2" t="n">
        <v>1</v>
      </c>
      <c r="AM73" s="10"/>
      <c r="AN73" s="12" t="n">
        <v>1</v>
      </c>
      <c r="AO73" s="12" t="n">
        <v>1</v>
      </c>
      <c r="AP73" s="10"/>
      <c r="AQ73" s="10"/>
      <c r="AR73" s="12" t="n">
        <v>1</v>
      </c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2" t="n">
        <v>1</v>
      </c>
      <c r="BE73" s="12" t="n">
        <v>1</v>
      </c>
      <c r="BF73" s="12" t="n">
        <v>1</v>
      </c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</row>
    <row r="74" customFormat="false" ht="15" hidden="false" customHeight="false" outlineLevel="0" collapsed="false">
      <c r="A74" s="13" t="n">
        <v>72</v>
      </c>
      <c r="B74" s="13" t="s">
        <v>351</v>
      </c>
      <c r="C74" s="13" t="s">
        <v>352</v>
      </c>
      <c r="D74" s="13" t="s">
        <v>127</v>
      </c>
      <c r="E74" s="13" t="s">
        <v>144</v>
      </c>
      <c r="F74" s="13" t="s">
        <v>157</v>
      </c>
      <c r="G74" s="13" t="s">
        <v>150</v>
      </c>
      <c r="H74" s="13" t="n">
        <v>1</v>
      </c>
      <c r="I74" s="13"/>
      <c r="J74" s="14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2" t="n">
        <v>1</v>
      </c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</row>
    <row r="75" customFormat="false" ht="15" hidden="false" customHeight="false" outlineLevel="0" collapsed="false">
      <c r="A75" s="13" t="n">
        <v>73</v>
      </c>
      <c r="B75" s="13" t="s">
        <v>353</v>
      </c>
      <c r="C75" s="13" t="s">
        <v>354</v>
      </c>
      <c r="D75" s="13" t="s">
        <v>127</v>
      </c>
      <c r="E75" s="13" t="s">
        <v>144</v>
      </c>
      <c r="F75" s="13" t="s">
        <v>157</v>
      </c>
      <c r="G75" s="13"/>
      <c r="H75" s="13" t="n">
        <v>0</v>
      </c>
      <c r="I75" s="13"/>
      <c r="J75" s="14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</row>
    <row r="76" customFormat="false" ht="15" hidden="false" customHeight="false" outlineLevel="0" collapsed="false">
      <c r="A76" s="13" t="n">
        <v>74</v>
      </c>
      <c r="B76" s="13" t="s">
        <v>355</v>
      </c>
      <c r="C76" s="13" t="s">
        <v>356</v>
      </c>
      <c r="D76" s="13" t="s">
        <v>127</v>
      </c>
      <c r="E76" s="13" t="s">
        <v>153</v>
      </c>
      <c r="F76" s="13" t="s">
        <v>157</v>
      </c>
      <c r="G76" s="13"/>
      <c r="H76" s="13" t="n">
        <v>0</v>
      </c>
      <c r="I76" s="13"/>
      <c r="J76" s="14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</row>
    <row r="77" customFormat="false" ht="15" hidden="false" customHeight="false" outlineLevel="0" collapsed="false">
      <c r="A77" s="10" t="n">
        <v>75</v>
      </c>
      <c r="B77" s="10" t="s">
        <v>357</v>
      </c>
      <c r="C77" s="10" t="s">
        <v>358</v>
      </c>
      <c r="D77" s="10" t="s">
        <v>127</v>
      </c>
      <c r="E77" s="10" t="s">
        <v>153</v>
      </c>
      <c r="F77" s="10" t="s">
        <v>145</v>
      </c>
      <c r="G77" s="10" t="s">
        <v>146</v>
      </c>
      <c r="H77" s="10" t="n">
        <v>11</v>
      </c>
      <c r="I77" s="10" t="s">
        <v>359</v>
      </c>
      <c r="J77" s="11" t="s">
        <v>160</v>
      </c>
      <c r="K77" s="12" t="n">
        <v>1</v>
      </c>
      <c r="L77" s="12" t="n">
        <v>1</v>
      </c>
      <c r="M77" s="12" t="n">
        <v>1</v>
      </c>
      <c r="N77" s="10"/>
      <c r="O77" s="10"/>
      <c r="P77" s="10"/>
      <c r="Q77" s="10"/>
      <c r="R77" s="12" t="n">
        <v>1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2" t="n">
        <v>1</v>
      </c>
      <c r="AE77" s="10"/>
      <c r="AF77" s="10"/>
      <c r="AG77" s="10"/>
      <c r="AH77" s="10"/>
      <c r="AI77" s="10"/>
      <c r="AJ77" s="10"/>
      <c r="AK77" s="10"/>
      <c r="AL77" s="12" t="n">
        <v>1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2" t="n">
        <v>1</v>
      </c>
      <c r="BE77" s="10"/>
      <c r="BF77" s="12" t="n">
        <v>1</v>
      </c>
      <c r="BG77" s="10"/>
      <c r="BH77" s="10"/>
      <c r="BI77" s="12" t="n">
        <v>1</v>
      </c>
      <c r="BJ77" s="10"/>
      <c r="BK77" s="10"/>
      <c r="BL77" s="10"/>
      <c r="BM77" s="10"/>
      <c r="BN77" s="10"/>
      <c r="BO77" s="10"/>
      <c r="BP77" s="10"/>
      <c r="BQ77" s="10"/>
      <c r="BR77" s="12" t="n">
        <v>1</v>
      </c>
      <c r="BS77" s="10"/>
      <c r="BT77" s="10"/>
      <c r="BU77" s="10"/>
      <c r="BV77" s="10"/>
      <c r="BW77" s="10"/>
      <c r="BX77" s="10"/>
      <c r="BY77" s="12" t="n">
        <v>1</v>
      </c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</row>
    <row r="78" customFormat="false" ht="15" hidden="false" customHeight="false" outlineLevel="0" collapsed="false">
      <c r="A78" s="13" t="n">
        <v>76</v>
      </c>
      <c r="B78" s="13" t="s">
        <v>360</v>
      </c>
      <c r="C78" s="13" t="s">
        <v>361</v>
      </c>
      <c r="D78" s="13" t="s">
        <v>127</v>
      </c>
      <c r="E78" s="13" t="s">
        <v>153</v>
      </c>
      <c r="F78" s="13" t="s">
        <v>157</v>
      </c>
      <c r="G78" s="13"/>
      <c r="H78" s="13" t="n">
        <v>0</v>
      </c>
      <c r="I78" s="13"/>
      <c r="J78" s="14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</row>
    <row r="79" customFormat="false" ht="32.8" hidden="false" customHeight="false" outlineLevel="0" collapsed="false">
      <c r="A79" s="10" t="n">
        <v>77</v>
      </c>
      <c r="B79" s="10" t="s">
        <v>362</v>
      </c>
      <c r="C79" s="10" t="s">
        <v>363</v>
      </c>
      <c r="D79" s="10" t="s">
        <v>127</v>
      </c>
      <c r="E79" s="10" t="s">
        <v>153</v>
      </c>
      <c r="F79" s="10" t="s">
        <v>145</v>
      </c>
      <c r="G79" s="10" t="s">
        <v>146</v>
      </c>
      <c r="H79" s="10" t="n">
        <v>20</v>
      </c>
      <c r="I79" s="10" t="s">
        <v>364</v>
      </c>
      <c r="J79" s="11" t="s">
        <v>314</v>
      </c>
      <c r="K79" s="12" t="n">
        <v>1</v>
      </c>
      <c r="L79" s="12" t="n">
        <v>1</v>
      </c>
      <c r="M79" s="12" t="n">
        <v>1</v>
      </c>
      <c r="N79" s="12" t="n">
        <v>1</v>
      </c>
      <c r="O79" s="10"/>
      <c r="P79" s="12" t="n">
        <v>1</v>
      </c>
      <c r="Q79" s="10"/>
      <c r="R79" s="12" t="n">
        <v>1</v>
      </c>
      <c r="S79" s="12" t="n">
        <v>1</v>
      </c>
      <c r="T79" s="12" t="n">
        <v>1</v>
      </c>
      <c r="U79" s="12" t="n">
        <v>1</v>
      </c>
      <c r="V79" s="12" t="n">
        <v>1</v>
      </c>
      <c r="W79" s="10"/>
      <c r="X79" s="12" t="n">
        <v>1</v>
      </c>
      <c r="Y79" s="10"/>
      <c r="Z79" s="10"/>
      <c r="AA79" s="10"/>
      <c r="AB79" s="10"/>
      <c r="AC79" s="10"/>
      <c r="AD79" s="12" t="n">
        <v>1</v>
      </c>
      <c r="AE79" s="12" t="n">
        <v>1</v>
      </c>
      <c r="AF79" s="10"/>
      <c r="AG79" s="10"/>
      <c r="AH79" s="10"/>
      <c r="AI79" s="10"/>
      <c r="AJ79" s="10"/>
      <c r="AK79" s="10"/>
      <c r="AL79" s="12" t="n">
        <v>1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2" t="n">
        <v>1</v>
      </c>
      <c r="BE79" s="10"/>
      <c r="BF79" s="12" t="n">
        <v>1</v>
      </c>
      <c r="BG79" s="10"/>
      <c r="BH79" s="10"/>
      <c r="BI79" s="12" t="n">
        <v>1</v>
      </c>
      <c r="BJ79" s="12" t="n">
        <v>1</v>
      </c>
      <c r="BK79" s="12" t="n">
        <v>1</v>
      </c>
      <c r="BL79" s="10"/>
      <c r="BM79" s="10"/>
      <c r="BN79" s="12" t="n">
        <v>1</v>
      </c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</row>
    <row r="80" customFormat="false" ht="15" hidden="false" customHeight="false" outlineLevel="0" collapsed="false">
      <c r="A80" s="10" t="n">
        <v>78</v>
      </c>
      <c r="B80" s="10" t="s">
        <v>365</v>
      </c>
      <c r="C80" s="10" t="s">
        <v>366</v>
      </c>
      <c r="D80" s="10" t="s">
        <v>127</v>
      </c>
      <c r="E80" s="10" t="s">
        <v>153</v>
      </c>
      <c r="F80" s="10" t="s">
        <v>145</v>
      </c>
      <c r="G80" s="10" t="s">
        <v>146</v>
      </c>
      <c r="H80" s="10" t="n">
        <v>12</v>
      </c>
      <c r="I80" s="10"/>
      <c r="J80" s="11" t="s">
        <v>160</v>
      </c>
      <c r="K80" s="12" t="n">
        <v>1</v>
      </c>
      <c r="L80" s="10"/>
      <c r="M80" s="10"/>
      <c r="N80" s="10"/>
      <c r="O80" s="10"/>
      <c r="P80" s="10"/>
      <c r="Q80" s="10"/>
      <c r="R80" s="12" t="n">
        <v>1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2" t="n">
        <v>1</v>
      </c>
      <c r="AG80" s="10"/>
      <c r="AH80" s="10"/>
      <c r="AI80" s="10"/>
      <c r="AJ80" s="10"/>
      <c r="AK80" s="10"/>
      <c r="AL80" s="12" t="n">
        <v>1</v>
      </c>
      <c r="AM80" s="10"/>
      <c r="AN80" s="12" t="n">
        <v>1</v>
      </c>
      <c r="AO80" s="12" t="n">
        <v>1</v>
      </c>
      <c r="AP80" s="10"/>
      <c r="AQ80" s="10"/>
      <c r="AR80" s="12" t="n">
        <v>1</v>
      </c>
      <c r="AS80" s="10"/>
      <c r="AT80" s="12" t="n">
        <v>1</v>
      </c>
      <c r="AU80" s="10"/>
      <c r="AV80" s="10"/>
      <c r="AW80" s="10"/>
      <c r="AX80" s="10"/>
      <c r="AY80" s="10"/>
      <c r="AZ80" s="10"/>
      <c r="BA80" s="12" t="n">
        <v>1</v>
      </c>
      <c r="BB80" s="10"/>
      <c r="BC80" s="10"/>
      <c r="BD80" s="10"/>
      <c r="BE80" s="10"/>
      <c r="BF80" s="12" t="n">
        <v>1</v>
      </c>
      <c r="BG80" s="12" t="n">
        <v>1</v>
      </c>
      <c r="BH80" s="10"/>
      <c r="BI80" s="10"/>
      <c r="BJ80" s="10"/>
      <c r="BK80" s="10"/>
      <c r="BL80" s="12" t="n">
        <v>1</v>
      </c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</row>
    <row r="81" customFormat="false" ht="15" hidden="false" customHeight="false" outlineLevel="0" collapsed="false">
      <c r="A81" s="10" t="n">
        <v>79</v>
      </c>
      <c r="B81" s="10" t="s">
        <v>367</v>
      </c>
      <c r="C81" s="10" t="s">
        <v>368</v>
      </c>
      <c r="D81" s="10" t="s">
        <v>127</v>
      </c>
      <c r="E81" s="10" t="s">
        <v>153</v>
      </c>
      <c r="F81" s="10" t="s">
        <v>145</v>
      </c>
      <c r="G81" s="10" t="s">
        <v>146</v>
      </c>
      <c r="H81" s="10" t="n">
        <v>9</v>
      </c>
      <c r="I81" s="10" t="s">
        <v>369</v>
      </c>
      <c r="J81" s="11" t="s">
        <v>262</v>
      </c>
      <c r="K81" s="12" t="n">
        <v>1</v>
      </c>
      <c r="L81" s="12" t="n">
        <v>1</v>
      </c>
      <c r="M81" s="10"/>
      <c r="N81" s="10"/>
      <c r="O81" s="10"/>
      <c r="P81" s="10"/>
      <c r="Q81" s="10"/>
      <c r="R81" s="10"/>
      <c r="S81" s="10"/>
      <c r="T81" s="10"/>
      <c r="U81" s="10"/>
      <c r="V81" s="12" t="n">
        <v>1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2" t="n">
        <v>1</v>
      </c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2" t="n">
        <v>1</v>
      </c>
      <c r="BE81" s="10"/>
      <c r="BF81" s="12" t="n">
        <v>1</v>
      </c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2" t="n">
        <v>1</v>
      </c>
      <c r="BU81" s="10"/>
      <c r="BV81" s="10"/>
      <c r="BW81" s="10"/>
      <c r="BX81" s="10"/>
      <c r="BY81" s="10"/>
      <c r="BZ81" s="10"/>
      <c r="CA81" s="10"/>
      <c r="CB81" s="12" t="n">
        <v>1</v>
      </c>
      <c r="CC81" s="10"/>
      <c r="CD81" s="10"/>
      <c r="CE81" s="12" t="n">
        <v>1</v>
      </c>
      <c r="CF81" s="10"/>
      <c r="CG81" s="10"/>
      <c r="CH81" s="10"/>
      <c r="CI81" s="10"/>
      <c r="CJ81" s="10"/>
    </row>
    <row r="82" customFormat="false" ht="15" hidden="false" customHeight="false" outlineLevel="0" collapsed="false">
      <c r="A82" s="13" t="n">
        <v>80</v>
      </c>
      <c r="B82" s="13" t="s">
        <v>370</v>
      </c>
      <c r="C82" s="13" t="s">
        <v>371</v>
      </c>
      <c r="D82" s="13" t="s">
        <v>128</v>
      </c>
      <c r="E82" s="13" t="s">
        <v>144</v>
      </c>
      <c r="F82" s="13" t="s">
        <v>157</v>
      </c>
      <c r="G82" s="13"/>
      <c r="H82" s="13" t="n">
        <v>0</v>
      </c>
      <c r="I82" s="13"/>
      <c r="J82" s="1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</row>
    <row r="83" customFormat="false" ht="22.35" hidden="false" customHeight="false" outlineLevel="0" collapsed="false">
      <c r="A83" s="10" t="n">
        <v>81</v>
      </c>
      <c r="B83" s="10" t="s">
        <v>372</v>
      </c>
      <c r="C83" s="10" t="s">
        <v>373</v>
      </c>
      <c r="D83" s="10" t="s">
        <v>128</v>
      </c>
      <c r="E83" s="10" t="s">
        <v>153</v>
      </c>
      <c r="F83" s="10" t="s">
        <v>145</v>
      </c>
      <c r="G83" s="10" t="s">
        <v>146</v>
      </c>
      <c r="H83" s="10" t="n">
        <v>18</v>
      </c>
      <c r="I83" s="10" t="s">
        <v>374</v>
      </c>
      <c r="J83" s="11" t="s">
        <v>375</v>
      </c>
      <c r="K83" s="12" t="n">
        <v>1</v>
      </c>
      <c r="L83" s="12" t="n">
        <v>1</v>
      </c>
      <c r="M83" s="12" t="n">
        <v>1</v>
      </c>
      <c r="N83" s="12" t="n">
        <v>1</v>
      </c>
      <c r="O83" s="10"/>
      <c r="P83" s="10"/>
      <c r="Q83" s="12" t="n">
        <v>1</v>
      </c>
      <c r="R83" s="12" t="n">
        <v>1</v>
      </c>
      <c r="S83" s="10"/>
      <c r="T83" s="10"/>
      <c r="U83" s="10"/>
      <c r="V83" s="12" t="n">
        <v>1</v>
      </c>
      <c r="W83" s="10"/>
      <c r="X83" s="10"/>
      <c r="Y83" s="10"/>
      <c r="Z83" s="12" t="n">
        <v>1</v>
      </c>
      <c r="AA83" s="10"/>
      <c r="AB83" s="10"/>
      <c r="AC83" s="10"/>
      <c r="AD83" s="12" t="n">
        <v>1</v>
      </c>
      <c r="AE83" s="10"/>
      <c r="AF83" s="10"/>
      <c r="AG83" s="10"/>
      <c r="AH83" s="10"/>
      <c r="AI83" s="10"/>
      <c r="AJ83" s="10"/>
      <c r="AK83" s="10"/>
      <c r="AL83" s="12" t="n">
        <v>1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2" t="n">
        <v>1</v>
      </c>
      <c r="BE83" s="10"/>
      <c r="BF83" s="12" t="n">
        <v>1</v>
      </c>
      <c r="BG83" s="10"/>
      <c r="BH83" s="10"/>
      <c r="BI83" s="12" t="n">
        <v>1</v>
      </c>
      <c r="BJ83" s="12" t="n">
        <v>1</v>
      </c>
      <c r="BK83" s="12" t="n">
        <v>1</v>
      </c>
      <c r="BL83" s="10"/>
      <c r="BM83" s="12" t="n">
        <v>1</v>
      </c>
      <c r="BN83" s="10"/>
      <c r="BO83" s="12" t="n">
        <v>1</v>
      </c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2" t="n">
        <v>1</v>
      </c>
      <c r="CF83" s="10"/>
      <c r="CG83" s="10"/>
      <c r="CH83" s="10"/>
      <c r="CI83" s="10"/>
      <c r="CJ83" s="10"/>
    </row>
    <row r="84" customFormat="false" ht="15" hidden="false" customHeight="false" outlineLevel="0" collapsed="false">
      <c r="A84" s="10" t="n">
        <v>82</v>
      </c>
      <c r="B84" s="10" t="s">
        <v>376</v>
      </c>
      <c r="C84" s="10" t="s">
        <v>377</v>
      </c>
      <c r="D84" s="10" t="s">
        <v>128</v>
      </c>
      <c r="E84" s="10" t="s">
        <v>153</v>
      </c>
      <c r="F84" s="10" t="s">
        <v>167</v>
      </c>
      <c r="G84" s="10" t="s">
        <v>183</v>
      </c>
      <c r="H84" s="10" t="n">
        <v>1</v>
      </c>
      <c r="I84" s="10" t="s">
        <v>378</v>
      </c>
      <c r="J84" s="1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2" t="n">
        <v>1</v>
      </c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</row>
    <row r="85" customFormat="false" ht="15" hidden="false" customHeight="false" outlineLevel="0" collapsed="false">
      <c r="A85" s="13" t="n">
        <v>83</v>
      </c>
      <c r="B85" s="13" t="s">
        <v>379</v>
      </c>
      <c r="C85" s="13" t="s">
        <v>380</v>
      </c>
      <c r="D85" s="13" t="s">
        <v>128</v>
      </c>
      <c r="E85" s="13" t="s">
        <v>153</v>
      </c>
      <c r="F85" s="13" t="s">
        <v>157</v>
      </c>
      <c r="G85" s="13"/>
      <c r="H85" s="13" t="n">
        <v>0</v>
      </c>
      <c r="I85" s="13"/>
      <c r="J85" s="1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</row>
    <row r="86" customFormat="false" ht="15" hidden="false" customHeight="false" outlineLevel="0" collapsed="false">
      <c r="A86" s="10" t="n">
        <v>84</v>
      </c>
      <c r="B86" s="10" t="s">
        <v>381</v>
      </c>
      <c r="C86" s="10" t="s">
        <v>382</v>
      </c>
      <c r="D86" s="10" t="s">
        <v>129</v>
      </c>
      <c r="E86" s="10" t="s">
        <v>153</v>
      </c>
      <c r="F86" s="10" t="s">
        <v>167</v>
      </c>
      <c r="G86" s="10" t="s">
        <v>146</v>
      </c>
      <c r="H86" s="10" t="n">
        <v>6</v>
      </c>
      <c r="I86" s="10"/>
      <c r="J86" s="11" t="s">
        <v>262</v>
      </c>
      <c r="K86" s="12" t="n">
        <v>1</v>
      </c>
      <c r="L86" s="12" t="n">
        <v>1</v>
      </c>
      <c r="M86" s="10"/>
      <c r="N86" s="10"/>
      <c r="O86" s="10"/>
      <c r="P86" s="10"/>
      <c r="Q86" s="10"/>
      <c r="R86" s="10"/>
      <c r="S86" s="10"/>
      <c r="T86" s="10"/>
      <c r="U86" s="10"/>
      <c r="V86" s="12" t="n">
        <v>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2" t="n">
        <v>1</v>
      </c>
      <c r="BB86" s="10"/>
      <c r="BC86" s="10"/>
      <c r="BD86" s="10"/>
      <c r="BE86" s="12" t="n">
        <v>1</v>
      </c>
      <c r="BF86" s="10"/>
      <c r="BG86" s="12" t="n">
        <v>1</v>
      </c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</row>
    <row r="87" customFormat="false" ht="15" hidden="false" customHeight="false" outlineLevel="0" collapsed="false">
      <c r="A87" s="13" t="n">
        <v>85</v>
      </c>
      <c r="B87" s="13" t="s">
        <v>383</v>
      </c>
      <c r="C87" s="13" t="s">
        <v>384</v>
      </c>
      <c r="D87" s="13" t="s">
        <v>129</v>
      </c>
      <c r="E87" s="13" t="s">
        <v>153</v>
      </c>
      <c r="F87" s="13" t="s">
        <v>157</v>
      </c>
      <c r="G87" s="13"/>
      <c r="H87" s="13" t="n">
        <v>0</v>
      </c>
      <c r="I87" s="13"/>
      <c r="J87" s="1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</row>
    <row r="88" customFormat="false" ht="15" hidden="false" customHeight="false" outlineLevel="0" collapsed="false">
      <c r="A88" s="10" t="n">
        <v>86</v>
      </c>
      <c r="B88" s="10" t="s">
        <v>385</v>
      </c>
      <c r="C88" s="10" t="s">
        <v>386</v>
      </c>
      <c r="D88" s="10" t="s">
        <v>129</v>
      </c>
      <c r="E88" s="10" t="s">
        <v>153</v>
      </c>
      <c r="F88" s="10" t="s">
        <v>145</v>
      </c>
      <c r="G88" s="10" t="s">
        <v>146</v>
      </c>
      <c r="H88" s="10" t="n">
        <v>15</v>
      </c>
      <c r="I88" s="10" t="s">
        <v>387</v>
      </c>
      <c r="J88" s="11" t="s">
        <v>234</v>
      </c>
      <c r="K88" s="12" t="n">
        <v>1</v>
      </c>
      <c r="L88" s="12" t="n">
        <v>1</v>
      </c>
      <c r="M88" s="12" t="n">
        <v>1</v>
      </c>
      <c r="N88" s="10"/>
      <c r="O88" s="10"/>
      <c r="P88" s="10"/>
      <c r="Q88" s="10"/>
      <c r="R88" s="10"/>
      <c r="S88" s="10"/>
      <c r="T88" s="10"/>
      <c r="U88" s="12" t="n">
        <v>1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2" t="n">
        <v>1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2" t="n">
        <v>1</v>
      </c>
      <c r="BB88" s="10"/>
      <c r="BC88" s="10"/>
      <c r="BD88" s="12" t="n">
        <v>1</v>
      </c>
      <c r="BE88" s="10"/>
      <c r="BF88" s="12" t="n">
        <v>1</v>
      </c>
      <c r="BG88" s="12" t="n">
        <v>1</v>
      </c>
      <c r="BH88" s="10"/>
      <c r="BI88" s="12" t="n">
        <v>1</v>
      </c>
      <c r="BJ88" s="12" t="n">
        <v>1</v>
      </c>
      <c r="BK88" s="12" t="n">
        <v>1</v>
      </c>
      <c r="BL88" s="10"/>
      <c r="BM88" s="10"/>
      <c r="BN88" s="12" t="n">
        <v>1</v>
      </c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2" t="n">
        <v>1</v>
      </c>
      <c r="CI88" s="10"/>
      <c r="CJ88" s="12" t="n">
        <v>1</v>
      </c>
    </row>
    <row r="89" customFormat="false" ht="15" hidden="false" customHeight="false" outlineLevel="0" collapsed="false">
      <c r="A89" s="10" t="n">
        <v>87</v>
      </c>
      <c r="B89" s="10" t="s">
        <v>388</v>
      </c>
      <c r="C89" s="10" t="s">
        <v>389</v>
      </c>
      <c r="D89" s="10" t="s">
        <v>130</v>
      </c>
      <c r="E89" s="10" t="s">
        <v>153</v>
      </c>
      <c r="F89" s="10" t="s">
        <v>145</v>
      </c>
      <c r="G89" s="10" t="s">
        <v>146</v>
      </c>
      <c r="H89" s="10" t="n">
        <v>12</v>
      </c>
      <c r="I89" s="10" t="s">
        <v>390</v>
      </c>
      <c r="J89" s="11" t="s">
        <v>234</v>
      </c>
      <c r="K89" s="12" t="n">
        <v>1</v>
      </c>
      <c r="L89" s="12" t="n">
        <v>1</v>
      </c>
      <c r="M89" s="12" t="n">
        <v>1</v>
      </c>
      <c r="N89" s="10"/>
      <c r="O89" s="10"/>
      <c r="P89" s="10"/>
      <c r="Q89" s="10"/>
      <c r="R89" s="10"/>
      <c r="S89" s="12" t="n">
        <v>1</v>
      </c>
      <c r="T89" s="10"/>
      <c r="U89" s="12" t="n">
        <v>1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2" t="n">
        <v>1</v>
      </c>
      <c r="AM89" s="12" t="n">
        <v>1</v>
      </c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2" t="n">
        <v>1</v>
      </c>
      <c r="BE89" s="10"/>
      <c r="BF89" s="12" t="n">
        <v>1</v>
      </c>
      <c r="BG89" s="10"/>
      <c r="BH89" s="10"/>
      <c r="BI89" s="10"/>
      <c r="BJ89" s="10"/>
      <c r="BK89" s="12" t="n">
        <v>1</v>
      </c>
      <c r="BL89" s="10"/>
      <c r="BM89" s="10"/>
      <c r="BN89" s="12" t="n">
        <v>1</v>
      </c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2" t="n">
        <v>1</v>
      </c>
    </row>
    <row r="90" customFormat="false" ht="15" hidden="false" customHeight="false" outlineLevel="0" collapsed="false">
      <c r="A90" s="10" t="n">
        <v>88</v>
      </c>
      <c r="B90" s="10" t="s">
        <v>391</v>
      </c>
      <c r="C90" s="10" t="s">
        <v>392</v>
      </c>
      <c r="D90" s="10" t="s">
        <v>130</v>
      </c>
      <c r="E90" s="10" t="s">
        <v>153</v>
      </c>
      <c r="F90" s="10" t="s">
        <v>145</v>
      </c>
      <c r="G90" s="10" t="s">
        <v>146</v>
      </c>
      <c r="H90" s="10" t="n">
        <v>8</v>
      </c>
      <c r="I90" s="10"/>
      <c r="J90" s="11" t="s">
        <v>262</v>
      </c>
      <c r="K90" s="12" t="n">
        <v>1</v>
      </c>
      <c r="L90" s="12" t="n">
        <v>1</v>
      </c>
      <c r="M90" s="12" t="n">
        <v>1</v>
      </c>
      <c r="N90" s="10"/>
      <c r="O90" s="10"/>
      <c r="P90" s="10"/>
      <c r="Q90" s="10"/>
      <c r="R90" s="10"/>
      <c r="S90" s="10"/>
      <c r="T90" s="10"/>
      <c r="U90" s="10"/>
      <c r="V90" s="12" t="n">
        <v>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2" t="n">
        <v>1</v>
      </c>
      <c r="BG90" s="10"/>
      <c r="BH90" s="10"/>
      <c r="BI90" s="10"/>
      <c r="BJ90" s="10"/>
      <c r="BK90" s="12" t="n">
        <v>1</v>
      </c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2" t="n">
        <v>1</v>
      </c>
      <c r="CE90" s="10"/>
      <c r="CF90" s="10"/>
      <c r="CG90" s="10"/>
      <c r="CH90" s="10"/>
      <c r="CI90" s="10"/>
      <c r="CJ90" s="12" t="n">
        <v>1</v>
      </c>
    </row>
    <row r="91" customFormat="false" ht="22.35" hidden="false" customHeight="false" outlineLevel="0" collapsed="false">
      <c r="A91" s="10" t="n">
        <v>89</v>
      </c>
      <c r="B91" s="10" t="s">
        <v>393</v>
      </c>
      <c r="C91" s="10" t="s">
        <v>394</v>
      </c>
      <c r="D91" s="10" t="s">
        <v>130</v>
      </c>
      <c r="E91" s="10" t="s">
        <v>153</v>
      </c>
      <c r="F91" s="10" t="s">
        <v>145</v>
      </c>
      <c r="G91" s="10" t="s">
        <v>146</v>
      </c>
      <c r="H91" s="10" t="n">
        <v>15</v>
      </c>
      <c r="I91" s="10" t="s">
        <v>395</v>
      </c>
      <c r="J91" s="11" t="s">
        <v>375</v>
      </c>
      <c r="K91" s="12" t="n">
        <v>1</v>
      </c>
      <c r="L91" s="12" t="n">
        <v>1</v>
      </c>
      <c r="M91" s="12" t="n">
        <v>1</v>
      </c>
      <c r="N91" s="10"/>
      <c r="O91" s="10"/>
      <c r="P91" s="10"/>
      <c r="Q91" s="10"/>
      <c r="R91" s="10"/>
      <c r="S91" s="10"/>
      <c r="T91" s="10"/>
      <c r="U91" s="10"/>
      <c r="V91" s="12" t="n">
        <v>1</v>
      </c>
      <c r="W91" s="10"/>
      <c r="X91" s="10"/>
      <c r="Y91" s="10"/>
      <c r="Z91" s="12" t="n">
        <v>1</v>
      </c>
      <c r="AA91" s="10"/>
      <c r="AB91" s="10"/>
      <c r="AC91" s="10"/>
      <c r="AD91" s="10"/>
      <c r="AE91" s="12" t="n">
        <v>1</v>
      </c>
      <c r="AF91" s="10"/>
      <c r="AG91" s="10"/>
      <c r="AH91" s="10"/>
      <c r="AI91" s="10"/>
      <c r="AJ91" s="10"/>
      <c r="AK91" s="10"/>
      <c r="AL91" s="12" t="n">
        <v>1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2" t="n">
        <v>1</v>
      </c>
      <c r="BE91" s="10"/>
      <c r="BF91" s="12" t="n">
        <v>1</v>
      </c>
      <c r="BG91" s="10"/>
      <c r="BH91" s="10"/>
      <c r="BI91" s="10"/>
      <c r="BJ91" s="12" t="n">
        <v>1</v>
      </c>
      <c r="BK91" s="12" t="n">
        <v>1</v>
      </c>
      <c r="BL91" s="10"/>
      <c r="BM91" s="10"/>
      <c r="BN91" s="10"/>
      <c r="BO91" s="10"/>
      <c r="BP91" s="10"/>
      <c r="BQ91" s="10"/>
      <c r="BR91" s="10"/>
      <c r="BS91" s="10"/>
      <c r="BT91" s="10"/>
      <c r="BU91" s="12" t="n">
        <v>1</v>
      </c>
      <c r="BV91" s="10"/>
      <c r="BW91" s="10"/>
      <c r="BX91" s="10"/>
      <c r="BY91" s="10"/>
      <c r="BZ91" s="12" t="n">
        <v>1</v>
      </c>
      <c r="CA91" s="10"/>
      <c r="CB91" s="10"/>
      <c r="CC91" s="12" t="n">
        <v>1</v>
      </c>
      <c r="CD91" s="10"/>
      <c r="CE91" s="12" t="n">
        <v>1</v>
      </c>
      <c r="CF91" s="10"/>
      <c r="CG91" s="10"/>
      <c r="CH91" s="10"/>
      <c r="CI91" s="10"/>
      <c r="CJ91" s="10"/>
    </row>
    <row r="92" customFormat="false" ht="15" hidden="false" customHeight="false" outlineLevel="0" collapsed="false">
      <c r="A92" s="10" t="n">
        <v>90</v>
      </c>
      <c r="B92" s="10" t="s">
        <v>396</v>
      </c>
      <c r="C92" s="10" t="s">
        <v>397</v>
      </c>
      <c r="D92" s="10" t="s">
        <v>130</v>
      </c>
      <c r="E92" s="10" t="s">
        <v>153</v>
      </c>
      <c r="F92" s="10" t="s">
        <v>145</v>
      </c>
      <c r="G92" s="10" t="s">
        <v>146</v>
      </c>
      <c r="H92" s="10" t="n">
        <v>3</v>
      </c>
      <c r="I92" s="10"/>
      <c r="J92" s="11"/>
      <c r="K92" s="10"/>
      <c r="L92" s="12" t="n">
        <v>1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2" t="n">
        <v>1</v>
      </c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2" t="n">
        <v>1</v>
      </c>
      <c r="CH92" s="10"/>
      <c r="CI92" s="10"/>
      <c r="CJ92" s="10"/>
    </row>
    <row r="93" customFormat="false" ht="22.35" hidden="false" customHeight="false" outlineLevel="0" collapsed="false">
      <c r="A93" s="10" t="n">
        <v>91</v>
      </c>
      <c r="B93" s="10" t="s">
        <v>398</v>
      </c>
      <c r="C93" s="10" t="s">
        <v>399</v>
      </c>
      <c r="D93" s="10" t="s">
        <v>130</v>
      </c>
      <c r="E93" s="10" t="s">
        <v>153</v>
      </c>
      <c r="F93" s="10" t="s">
        <v>145</v>
      </c>
      <c r="G93" s="10" t="s">
        <v>146</v>
      </c>
      <c r="H93" s="10" t="n">
        <v>18</v>
      </c>
      <c r="I93" s="10" t="s">
        <v>400</v>
      </c>
      <c r="J93" s="11" t="s">
        <v>375</v>
      </c>
      <c r="K93" s="12" t="n">
        <v>1</v>
      </c>
      <c r="L93" s="12" t="n">
        <v>1</v>
      </c>
      <c r="M93" s="12" t="n">
        <v>1</v>
      </c>
      <c r="N93" s="12" t="n">
        <v>1</v>
      </c>
      <c r="O93" s="10"/>
      <c r="P93" s="10"/>
      <c r="Q93" s="10"/>
      <c r="R93" s="10"/>
      <c r="S93" s="10"/>
      <c r="T93" s="10"/>
      <c r="U93" s="10"/>
      <c r="V93" s="12" t="n">
        <v>1</v>
      </c>
      <c r="W93" s="10"/>
      <c r="X93" s="10"/>
      <c r="Y93" s="10"/>
      <c r="Z93" s="12" t="n">
        <v>1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2" t="n">
        <v>1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2" t="n">
        <v>1</v>
      </c>
      <c r="BE93" s="10"/>
      <c r="BF93" s="12" t="n">
        <v>1</v>
      </c>
      <c r="BG93" s="10"/>
      <c r="BH93" s="10"/>
      <c r="BI93" s="12" t="n">
        <v>1</v>
      </c>
      <c r="BJ93" s="12" t="n">
        <v>1</v>
      </c>
      <c r="BK93" s="10"/>
      <c r="BL93" s="10"/>
      <c r="BM93" s="10"/>
      <c r="BN93" s="10"/>
      <c r="BO93" s="12" t="n">
        <v>1</v>
      </c>
      <c r="BP93" s="10"/>
      <c r="BQ93" s="10"/>
      <c r="BR93" s="10"/>
      <c r="BS93" s="10"/>
      <c r="BT93" s="10"/>
      <c r="BU93" s="12" t="n">
        <v>1</v>
      </c>
      <c r="BV93" s="10"/>
      <c r="BW93" s="10"/>
      <c r="BX93" s="10"/>
      <c r="BY93" s="12" t="n">
        <v>1</v>
      </c>
      <c r="BZ93" s="10"/>
      <c r="CA93" s="10"/>
      <c r="CB93" s="12" t="n">
        <v>1</v>
      </c>
      <c r="CC93" s="12" t="n">
        <v>1</v>
      </c>
      <c r="CD93" s="12" t="n">
        <v>1</v>
      </c>
      <c r="CE93" s="12" t="n">
        <v>1</v>
      </c>
      <c r="CF93" s="10"/>
      <c r="CG93" s="10"/>
      <c r="CH93" s="10"/>
      <c r="CI93" s="10"/>
      <c r="CJ93" s="10"/>
    </row>
    <row r="94" customFormat="false" ht="15" hidden="false" customHeight="false" outlineLevel="0" collapsed="false">
      <c r="A94" s="10" t="n">
        <v>92</v>
      </c>
      <c r="B94" s="10" t="s">
        <v>401</v>
      </c>
      <c r="C94" s="10" t="s">
        <v>402</v>
      </c>
      <c r="D94" s="10" t="s">
        <v>130</v>
      </c>
      <c r="E94" s="10" t="s">
        <v>153</v>
      </c>
      <c r="F94" s="10" t="s">
        <v>145</v>
      </c>
      <c r="G94" s="10" t="s">
        <v>146</v>
      </c>
      <c r="H94" s="10" t="n">
        <v>7</v>
      </c>
      <c r="I94" s="10" t="s">
        <v>403</v>
      </c>
      <c r="J94" s="11"/>
      <c r="K94" s="12" t="n">
        <v>1</v>
      </c>
      <c r="L94" s="12" t="n">
        <v>1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2" t="n">
        <v>1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2" t="n">
        <v>1</v>
      </c>
      <c r="BE94" s="10"/>
      <c r="BF94" s="12" t="n">
        <v>1</v>
      </c>
      <c r="BG94" s="10"/>
      <c r="BH94" s="10"/>
      <c r="BI94" s="12" t="n">
        <v>1</v>
      </c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2" t="n">
        <v>1</v>
      </c>
      <c r="CE94" s="10"/>
      <c r="CF94" s="10"/>
      <c r="CG94" s="10"/>
      <c r="CH94" s="10"/>
      <c r="CI94" s="10"/>
      <c r="CJ94" s="10"/>
    </row>
    <row r="95" customFormat="false" ht="15" hidden="false" customHeight="false" outlineLevel="0" collapsed="false">
      <c r="A95" s="10" t="n">
        <v>93</v>
      </c>
      <c r="B95" s="10" t="s">
        <v>404</v>
      </c>
      <c r="C95" s="10" t="s">
        <v>405</v>
      </c>
      <c r="D95" s="10" t="s">
        <v>130</v>
      </c>
      <c r="E95" s="10" t="s">
        <v>153</v>
      </c>
      <c r="F95" s="10" t="s">
        <v>145</v>
      </c>
      <c r="G95" s="10" t="s">
        <v>183</v>
      </c>
      <c r="H95" s="10" t="n">
        <v>9</v>
      </c>
      <c r="I95" s="10" t="s">
        <v>406</v>
      </c>
      <c r="J95" s="11"/>
      <c r="K95" s="12" t="n">
        <v>1</v>
      </c>
      <c r="L95" s="12" t="n">
        <v>1</v>
      </c>
      <c r="M95" s="12" t="n">
        <v>1</v>
      </c>
      <c r="N95" s="10"/>
      <c r="O95" s="10"/>
      <c r="P95" s="10"/>
      <c r="Q95" s="10"/>
      <c r="R95" s="12" t="n">
        <v>1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2" t="n">
        <v>1</v>
      </c>
      <c r="BE95" s="10"/>
      <c r="BF95" s="12" t="n">
        <v>1</v>
      </c>
      <c r="BG95" s="10"/>
      <c r="BH95" s="10"/>
      <c r="BI95" s="12" t="n">
        <v>1</v>
      </c>
      <c r="BJ95" s="12" t="n">
        <v>1</v>
      </c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2" t="n">
        <v>1</v>
      </c>
      <c r="CF95" s="10"/>
      <c r="CG95" s="10"/>
      <c r="CH95" s="10"/>
      <c r="CI95" s="10"/>
      <c r="CJ95" s="10"/>
    </row>
    <row r="96" customFormat="false" ht="32.8" hidden="false" customHeight="false" outlineLevel="0" collapsed="false">
      <c r="A96" s="10" t="n">
        <v>94</v>
      </c>
      <c r="B96" s="10" t="s">
        <v>407</v>
      </c>
      <c r="C96" s="10" t="s">
        <v>408</v>
      </c>
      <c r="D96" s="10" t="s">
        <v>130</v>
      </c>
      <c r="E96" s="10" t="s">
        <v>153</v>
      </c>
      <c r="F96" s="10" t="s">
        <v>145</v>
      </c>
      <c r="G96" s="10" t="s">
        <v>146</v>
      </c>
      <c r="H96" s="10" t="n">
        <v>14</v>
      </c>
      <c r="I96" s="10" t="s">
        <v>409</v>
      </c>
      <c r="J96" s="11" t="s">
        <v>188</v>
      </c>
      <c r="K96" s="12" t="n">
        <v>1</v>
      </c>
      <c r="L96" s="12" t="n">
        <v>1</v>
      </c>
      <c r="M96" s="12" t="n">
        <v>1</v>
      </c>
      <c r="N96" s="10"/>
      <c r="O96" s="10"/>
      <c r="P96" s="10"/>
      <c r="Q96" s="10"/>
      <c r="R96" s="12" t="n">
        <v>1</v>
      </c>
      <c r="S96" s="10"/>
      <c r="T96" s="10"/>
      <c r="U96" s="10"/>
      <c r="V96" s="12" t="n">
        <v>1</v>
      </c>
      <c r="W96" s="10"/>
      <c r="X96" s="10"/>
      <c r="Y96" s="10"/>
      <c r="Z96" s="12" t="n">
        <v>1</v>
      </c>
      <c r="AA96" s="10"/>
      <c r="AB96" s="10"/>
      <c r="AC96" s="10"/>
      <c r="AD96" s="10"/>
      <c r="AE96" s="12" t="n">
        <v>1</v>
      </c>
      <c r="AF96" s="10"/>
      <c r="AG96" s="10"/>
      <c r="AH96" s="10"/>
      <c r="AI96" s="10"/>
      <c r="AJ96" s="10"/>
      <c r="AK96" s="12" t="n">
        <v>1</v>
      </c>
      <c r="AL96" s="12" t="n">
        <v>1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2" t="n">
        <v>1</v>
      </c>
      <c r="BE96" s="10"/>
      <c r="BF96" s="12" t="n">
        <v>1</v>
      </c>
      <c r="BG96" s="10"/>
      <c r="BH96" s="10"/>
      <c r="BI96" s="12" t="n">
        <v>1</v>
      </c>
      <c r="BJ96" s="10"/>
      <c r="BK96" s="10"/>
      <c r="BL96" s="10"/>
      <c r="BM96" s="10"/>
      <c r="BN96" s="10"/>
      <c r="BO96" s="10"/>
      <c r="BP96" s="10"/>
      <c r="BQ96" s="12" t="n">
        <v>1</v>
      </c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2" t="n">
        <v>1</v>
      </c>
      <c r="CF96" s="10"/>
      <c r="CG96" s="10"/>
      <c r="CH96" s="10"/>
      <c r="CI96" s="10"/>
      <c r="CJ96" s="10"/>
    </row>
    <row r="97" customFormat="false" ht="32.8" hidden="false" customHeight="false" outlineLevel="0" collapsed="false">
      <c r="A97" s="10" t="n">
        <v>95</v>
      </c>
      <c r="B97" s="10" t="s">
        <v>410</v>
      </c>
      <c r="C97" s="10" t="s">
        <v>411</v>
      </c>
      <c r="D97" s="10" t="s">
        <v>131</v>
      </c>
      <c r="E97" s="10" t="s">
        <v>144</v>
      </c>
      <c r="F97" s="10" t="s">
        <v>145</v>
      </c>
      <c r="G97" s="10" t="s">
        <v>146</v>
      </c>
      <c r="H97" s="10" t="n">
        <v>20</v>
      </c>
      <c r="I97" s="10" t="s">
        <v>412</v>
      </c>
      <c r="J97" s="11" t="s">
        <v>413</v>
      </c>
      <c r="K97" s="12" t="n">
        <v>1</v>
      </c>
      <c r="L97" s="12" t="n">
        <v>1</v>
      </c>
      <c r="M97" s="12" t="n">
        <v>1</v>
      </c>
      <c r="N97" s="12" t="n">
        <v>1</v>
      </c>
      <c r="O97" s="10"/>
      <c r="P97" s="12" t="n">
        <v>1</v>
      </c>
      <c r="Q97" s="12" t="n">
        <v>1</v>
      </c>
      <c r="R97" s="12" t="n">
        <v>1</v>
      </c>
      <c r="S97" s="12" t="n">
        <v>1</v>
      </c>
      <c r="T97" s="12" t="n">
        <v>1</v>
      </c>
      <c r="U97" s="12" t="n">
        <v>1</v>
      </c>
      <c r="V97" s="10"/>
      <c r="W97" s="10"/>
      <c r="X97" s="10"/>
      <c r="Y97" s="12" t="n">
        <v>1</v>
      </c>
      <c r="Z97" s="12" t="n">
        <v>1</v>
      </c>
      <c r="AA97" s="10"/>
      <c r="AB97" s="10"/>
      <c r="AC97" s="10"/>
      <c r="AD97" s="10"/>
      <c r="AE97" s="10"/>
      <c r="AF97" s="10"/>
      <c r="AG97" s="10"/>
      <c r="AH97" s="12" t="n">
        <v>1</v>
      </c>
      <c r="AI97" s="10"/>
      <c r="AJ97" s="10"/>
      <c r="AK97" s="10"/>
      <c r="AL97" s="12" t="n">
        <v>1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2" t="n">
        <v>1</v>
      </c>
      <c r="BE97" s="10"/>
      <c r="BF97" s="12" t="n">
        <v>1</v>
      </c>
      <c r="BG97" s="10"/>
      <c r="BH97" s="10"/>
      <c r="BI97" s="12" t="n">
        <v>1</v>
      </c>
      <c r="BJ97" s="10"/>
      <c r="BK97" s="12" t="n">
        <v>1</v>
      </c>
      <c r="BL97" s="10"/>
      <c r="BM97" s="10"/>
      <c r="BN97" s="10"/>
      <c r="BO97" s="10"/>
      <c r="BP97" s="10"/>
      <c r="BQ97" s="10"/>
      <c r="BR97" s="10"/>
      <c r="BS97" s="10"/>
      <c r="BT97" s="12" t="n">
        <v>1</v>
      </c>
      <c r="BU97" s="10"/>
      <c r="BV97" s="10"/>
      <c r="BW97" s="10"/>
      <c r="BX97" s="10"/>
      <c r="BY97" s="10"/>
      <c r="BZ97" s="10"/>
      <c r="CA97" s="10"/>
      <c r="CB97" s="10"/>
      <c r="CC97" s="10"/>
      <c r="CD97" s="12" t="n">
        <v>1</v>
      </c>
      <c r="CE97" s="10"/>
      <c r="CF97" s="10"/>
      <c r="CG97" s="10"/>
      <c r="CH97" s="10"/>
      <c r="CI97" s="10"/>
      <c r="CJ97" s="10"/>
    </row>
    <row r="98" customFormat="false" ht="22.35" hidden="false" customHeight="false" outlineLevel="0" collapsed="false">
      <c r="A98" s="10" t="n">
        <v>96</v>
      </c>
      <c r="B98" s="10" t="s">
        <v>414</v>
      </c>
      <c r="C98" s="10" t="s">
        <v>415</v>
      </c>
      <c r="D98" s="10" t="s">
        <v>131</v>
      </c>
      <c r="E98" s="10" t="s">
        <v>144</v>
      </c>
      <c r="F98" s="10" t="s">
        <v>145</v>
      </c>
      <c r="G98" s="10" t="s">
        <v>146</v>
      </c>
      <c r="H98" s="10" t="n">
        <v>13</v>
      </c>
      <c r="I98" s="10" t="s">
        <v>416</v>
      </c>
      <c r="J98" s="11" t="s">
        <v>169</v>
      </c>
      <c r="K98" s="12" t="n">
        <v>1</v>
      </c>
      <c r="L98" s="12" t="n">
        <v>1</v>
      </c>
      <c r="M98" s="12" t="n">
        <v>1</v>
      </c>
      <c r="N98" s="10"/>
      <c r="O98" s="10"/>
      <c r="P98" s="10"/>
      <c r="Q98" s="10"/>
      <c r="R98" s="12" t="n">
        <v>1</v>
      </c>
      <c r="S98" s="12" t="n">
        <v>1</v>
      </c>
      <c r="T98" s="12" t="n">
        <v>1</v>
      </c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2" t="n">
        <v>1</v>
      </c>
      <c r="AL98" s="12" t="n">
        <v>1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2" t="n">
        <v>1</v>
      </c>
      <c r="BE98" s="10"/>
      <c r="BF98" s="12" t="n">
        <v>1</v>
      </c>
      <c r="BG98" s="10"/>
      <c r="BH98" s="10"/>
      <c r="BI98" s="12" t="n">
        <v>1</v>
      </c>
      <c r="BJ98" s="10"/>
      <c r="BK98" s="10"/>
      <c r="BL98" s="10"/>
      <c r="BM98" s="10"/>
      <c r="BN98" s="10"/>
      <c r="BO98" s="10"/>
      <c r="BP98" s="12" t="n">
        <v>1</v>
      </c>
      <c r="BQ98" s="10"/>
      <c r="BR98" s="10"/>
      <c r="BS98" s="10"/>
      <c r="BT98" s="12" t="n">
        <v>1</v>
      </c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</row>
    <row r="99" customFormat="false" ht="32.8" hidden="false" customHeight="false" outlineLevel="0" collapsed="false">
      <c r="A99" s="10" t="n">
        <v>97</v>
      </c>
      <c r="B99" s="10" t="s">
        <v>417</v>
      </c>
      <c r="C99" s="10" t="s">
        <v>418</v>
      </c>
      <c r="D99" s="10" t="s">
        <v>131</v>
      </c>
      <c r="E99" s="10" t="s">
        <v>153</v>
      </c>
      <c r="F99" s="10" t="s">
        <v>145</v>
      </c>
      <c r="G99" s="10" t="s">
        <v>146</v>
      </c>
      <c r="H99" s="10" t="n">
        <v>15</v>
      </c>
      <c r="I99" s="10" t="s">
        <v>419</v>
      </c>
      <c r="J99" s="11" t="s">
        <v>188</v>
      </c>
      <c r="K99" s="12" t="n">
        <v>1</v>
      </c>
      <c r="L99" s="12" t="n">
        <v>1</v>
      </c>
      <c r="M99" s="12" t="n">
        <v>1</v>
      </c>
      <c r="N99" s="12" t="n">
        <v>1</v>
      </c>
      <c r="O99" s="10"/>
      <c r="P99" s="12" t="n">
        <v>1</v>
      </c>
      <c r="Q99" s="12" t="n">
        <v>1</v>
      </c>
      <c r="R99" s="10"/>
      <c r="S99" s="10"/>
      <c r="T99" s="10"/>
      <c r="U99" s="10"/>
      <c r="V99" s="12" t="n">
        <v>1</v>
      </c>
      <c r="W99" s="10"/>
      <c r="X99" s="10"/>
      <c r="Y99" s="10"/>
      <c r="Z99" s="10"/>
      <c r="AA99" s="10"/>
      <c r="AB99" s="10"/>
      <c r="AC99" s="10"/>
      <c r="AD99" s="10"/>
      <c r="AE99" s="12" t="n">
        <v>1</v>
      </c>
      <c r="AF99" s="10"/>
      <c r="AG99" s="10"/>
      <c r="AH99" s="12" t="n">
        <v>1</v>
      </c>
      <c r="AI99" s="10"/>
      <c r="AJ99" s="10"/>
      <c r="AK99" s="10"/>
      <c r="AL99" s="12" t="n">
        <v>1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2" t="n">
        <v>1</v>
      </c>
      <c r="BE99" s="10"/>
      <c r="BF99" s="12" t="n">
        <v>1</v>
      </c>
      <c r="BG99" s="10"/>
      <c r="BH99" s="10"/>
      <c r="BI99" s="12" t="n">
        <v>1</v>
      </c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2" t="n">
        <v>1</v>
      </c>
      <c r="BU99" s="10"/>
      <c r="BV99" s="10"/>
      <c r="BW99" s="10"/>
      <c r="BX99" s="10"/>
      <c r="BY99" s="12" t="n">
        <v>1</v>
      </c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</row>
    <row r="100" customFormat="false" ht="22.35" hidden="false" customHeight="false" outlineLevel="0" collapsed="false">
      <c r="A100" s="10" t="n">
        <v>98</v>
      </c>
      <c r="B100" s="10" t="s">
        <v>420</v>
      </c>
      <c r="C100" s="10" t="s">
        <v>421</v>
      </c>
      <c r="D100" s="10" t="s">
        <v>132</v>
      </c>
      <c r="E100" s="10" t="s">
        <v>144</v>
      </c>
      <c r="F100" s="10" t="s">
        <v>145</v>
      </c>
      <c r="G100" s="10" t="s">
        <v>183</v>
      </c>
      <c r="H100" s="10" t="n">
        <v>21</v>
      </c>
      <c r="I100" s="10" t="s">
        <v>422</v>
      </c>
      <c r="J100" s="11" t="s">
        <v>270</v>
      </c>
      <c r="K100" s="12" t="n">
        <v>1</v>
      </c>
      <c r="L100" s="12" t="n">
        <v>1</v>
      </c>
      <c r="M100" s="12" t="n">
        <v>1</v>
      </c>
      <c r="N100" s="10"/>
      <c r="O100" s="10"/>
      <c r="P100" s="10"/>
      <c r="Q100" s="12" t="n">
        <v>1</v>
      </c>
      <c r="R100" s="12" t="n">
        <v>1</v>
      </c>
      <c r="S100" s="10"/>
      <c r="T100" s="10"/>
      <c r="U100" s="10"/>
      <c r="V100" s="12" t="n">
        <v>1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2" t="n">
        <v>1</v>
      </c>
      <c r="AM100" s="10"/>
      <c r="AN100" s="12" t="n">
        <v>1</v>
      </c>
      <c r="AO100" s="12" t="n">
        <v>1</v>
      </c>
      <c r="AP100" s="10"/>
      <c r="AQ100" s="10"/>
      <c r="AR100" s="12" t="n">
        <v>1</v>
      </c>
      <c r="AS100" s="10"/>
      <c r="AT100" s="10"/>
      <c r="AU100" s="10"/>
      <c r="AV100" s="10"/>
      <c r="AW100" s="10"/>
      <c r="AX100" s="12" t="n">
        <v>1</v>
      </c>
      <c r="AY100" s="12" t="n">
        <v>1</v>
      </c>
      <c r="AZ100" s="10"/>
      <c r="BA100" s="12" t="n">
        <v>1</v>
      </c>
      <c r="BB100" s="12" t="n">
        <v>1</v>
      </c>
      <c r="BC100" s="10"/>
      <c r="BD100" s="12" t="n">
        <v>1</v>
      </c>
      <c r="BE100" s="10"/>
      <c r="BF100" s="12" t="n">
        <v>1</v>
      </c>
      <c r="BG100" s="12" t="n">
        <v>1</v>
      </c>
      <c r="BH100" s="10"/>
      <c r="BI100" s="12" t="n">
        <v>1</v>
      </c>
      <c r="BJ100" s="12" t="n">
        <v>1</v>
      </c>
      <c r="BK100" s="10"/>
      <c r="BL100" s="10"/>
      <c r="BM100" s="10"/>
      <c r="BN100" s="12" t="n">
        <v>1</v>
      </c>
      <c r="BO100" s="12" t="n">
        <v>1</v>
      </c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</row>
    <row r="101" customFormat="false" ht="32.8" hidden="false" customHeight="false" outlineLevel="0" collapsed="false">
      <c r="A101" s="10" t="n">
        <v>99</v>
      </c>
      <c r="B101" s="10" t="s">
        <v>423</v>
      </c>
      <c r="C101" s="10" t="s">
        <v>424</v>
      </c>
      <c r="D101" s="10" t="s">
        <v>132</v>
      </c>
      <c r="E101" s="10" t="s">
        <v>153</v>
      </c>
      <c r="F101" s="10" t="s">
        <v>145</v>
      </c>
      <c r="G101" s="10" t="s">
        <v>146</v>
      </c>
      <c r="H101" s="10" t="n">
        <v>11</v>
      </c>
      <c r="I101" s="10" t="s">
        <v>425</v>
      </c>
      <c r="J101" s="11" t="s">
        <v>426</v>
      </c>
      <c r="K101" s="12" t="n">
        <v>1</v>
      </c>
      <c r="L101" s="12" t="n">
        <v>1</v>
      </c>
      <c r="M101" s="12" t="n">
        <v>1</v>
      </c>
      <c r="N101" s="10"/>
      <c r="O101" s="10"/>
      <c r="P101" s="10"/>
      <c r="Q101" s="10"/>
      <c r="R101" s="10"/>
      <c r="S101" s="10"/>
      <c r="T101" s="10"/>
      <c r="U101" s="12" t="n">
        <v>1</v>
      </c>
      <c r="V101" s="12" t="n">
        <v>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2" t="n">
        <v>1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2" t="n">
        <v>1</v>
      </c>
      <c r="AY101" s="10"/>
      <c r="AZ101" s="10"/>
      <c r="BA101" s="10"/>
      <c r="BB101" s="10"/>
      <c r="BC101" s="10"/>
      <c r="BD101" s="12" t="n">
        <v>1</v>
      </c>
      <c r="BE101" s="10"/>
      <c r="BF101" s="12" t="n">
        <v>1</v>
      </c>
      <c r="BG101" s="10"/>
      <c r="BH101" s="10"/>
      <c r="BI101" s="10"/>
      <c r="BJ101" s="10"/>
      <c r="BK101" s="12" t="n">
        <v>1</v>
      </c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2" t="n">
        <v>1</v>
      </c>
      <c r="CF101" s="10"/>
      <c r="CG101" s="10"/>
      <c r="CH101" s="10"/>
      <c r="CI101" s="10"/>
      <c r="CJ101" s="10"/>
    </row>
    <row r="102" customFormat="false" ht="15" hidden="false" customHeight="false" outlineLevel="0" collapsed="false">
      <c r="A102" s="10" t="n">
        <v>100</v>
      </c>
      <c r="B102" s="10" t="s">
        <v>427</v>
      </c>
      <c r="C102" s="10" t="s">
        <v>428</v>
      </c>
      <c r="D102" s="10" t="s">
        <v>131</v>
      </c>
      <c r="E102" s="10" t="s">
        <v>144</v>
      </c>
      <c r="F102" s="10" t="s">
        <v>145</v>
      </c>
      <c r="G102" s="10" t="s">
        <v>150</v>
      </c>
      <c r="H102" s="10" t="n">
        <v>3</v>
      </c>
      <c r="I102" s="10"/>
      <c r="J102" s="11"/>
      <c r="K102" s="10"/>
      <c r="L102" s="10"/>
      <c r="M102" s="10"/>
      <c r="N102" s="10"/>
      <c r="O102" s="10"/>
      <c r="P102" s="10"/>
      <c r="Q102" s="10"/>
      <c r="R102" s="12" t="n">
        <v>1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2" t="n">
        <v>1</v>
      </c>
      <c r="BG102" s="10"/>
      <c r="BH102" s="10"/>
      <c r="BI102" s="10"/>
      <c r="BJ102" s="10"/>
      <c r="BK102" s="12" t="n">
        <v>1</v>
      </c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</row>
  </sheetData>
  <autoFilter ref="A2:CJ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134</v>
      </c>
      <c r="B1" s="3" t="s">
        <v>135</v>
      </c>
      <c r="C1" s="3" t="s">
        <v>429</v>
      </c>
      <c r="D1" s="3" t="s">
        <v>136</v>
      </c>
      <c r="E1" s="3" t="s">
        <v>5</v>
      </c>
      <c r="F1" s="3" t="s">
        <v>430</v>
      </c>
      <c r="G1" s="3" t="s">
        <v>431</v>
      </c>
    </row>
    <row r="2" customFormat="false" ht="15" hidden="false" customHeight="false" outlineLevel="0" collapsed="false">
      <c r="A2" s="4" t="s">
        <v>142</v>
      </c>
      <c r="B2" s="4" t="s">
        <v>143</v>
      </c>
      <c r="C2" s="4" t="s">
        <v>117</v>
      </c>
      <c r="D2" s="4" t="s">
        <v>144</v>
      </c>
      <c r="E2" s="4" t="s">
        <v>68</v>
      </c>
      <c r="F2" s="4" t="s">
        <v>69</v>
      </c>
      <c r="G2" s="4" t="s">
        <v>150</v>
      </c>
    </row>
    <row r="3" customFormat="false" ht="15" hidden="false" customHeight="false" outlineLevel="0" collapsed="false">
      <c r="A3" s="4" t="s">
        <v>142</v>
      </c>
      <c r="B3" s="4" t="s">
        <v>143</v>
      </c>
      <c r="C3" s="4" t="s">
        <v>117</v>
      </c>
      <c r="D3" s="4" t="s">
        <v>144</v>
      </c>
      <c r="E3" s="4" t="s">
        <v>73</v>
      </c>
      <c r="F3" s="4" t="s">
        <v>74</v>
      </c>
      <c r="G3" s="4" t="s">
        <v>432</v>
      </c>
    </row>
    <row r="4" customFormat="false" ht="15" hidden="false" customHeight="false" outlineLevel="0" collapsed="false">
      <c r="A4" s="4" t="s">
        <v>142</v>
      </c>
      <c r="B4" s="4" t="s">
        <v>143</v>
      </c>
      <c r="C4" s="4" t="s">
        <v>117</v>
      </c>
      <c r="D4" s="4" t="s">
        <v>144</v>
      </c>
      <c r="E4" s="4" t="s">
        <v>76</v>
      </c>
      <c r="F4" s="4" t="s">
        <v>74</v>
      </c>
      <c r="G4" s="4" t="s">
        <v>150</v>
      </c>
    </row>
    <row r="5" customFormat="false" ht="15" hidden="false" customHeight="false" outlineLevel="0" collapsed="false">
      <c r="A5" s="4" t="s">
        <v>147</v>
      </c>
      <c r="B5" s="4" t="s">
        <v>148</v>
      </c>
      <c r="C5" s="4" t="s">
        <v>117</v>
      </c>
      <c r="D5" s="4" t="s">
        <v>144</v>
      </c>
      <c r="E5" s="4" t="s">
        <v>76</v>
      </c>
      <c r="F5" s="4" t="s">
        <v>74</v>
      </c>
      <c r="G5" s="4" t="s">
        <v>150</v>
      </c>
    </row>
    <row r="6" customFormat="false" ht="15" hidden="false" customHeight="false" outlineLevel="0" collapsed="false">
      <c r="A6" s="4" t="s">
        <v>151</v>
      </c>
      <c r="B6" s="4" t="s">
        <v>152</v>
      </c>
      <c r="C6" s="4" t="s">
        <v>117</v>
      </c>
      <c r="D6" s="4" t="s">
        <v>153</v>
      </c>
      <c r="E6" s="4" t="s">
        <v>9</v>
      </c>
      <c r="F6" s="4" t="s">
        <v>10</v>
      </c>
      <c r="G6" s="4" t="s">
        <v>150</v>
      </c>
    </row>
    <row r="7" customFormat="false" ht="15" hidden="false" customHeight="false" outlineLevel="0" collapsed="false">
      <c r="A7" s="4" t="s">
        <v>151</v>
      </c>
      <c r="B7" s="4" t="s">
        <v>152</v>
      </c>
      <c r="C7" s="4" t="s">
        <v>117</v>
      </c>
      <c r="D7" s="4" t="s">
        <v>153</v>
      </c>
      <c r="E7" s="4" t="s">
        <v>24</v>
      </c>
      <c r="F7" s="4" t="s">
        <v>25</v>
      </c>
      <c r="G7" s="4" t="s">
        <v>150</v>
      </c>
    </row>
    <row r="8" customFormat="false" ht="15" hidden="false" customHeight="false" outlineLevel="0" collapsed="false">
      <c r="A8" s="4" t="s">
        <v>151</v>
      </c>
      <c r="B8" s="4" t="s">
        <v>152</v>
      </c>
      <c r="C8" s="4" t="s">
        <v>117</v>
      </c>
      <c r="D8" s="4" t="s">
        <v>153</v>
      </c>
      <c r="E8" s="4" t="s">
        <v>68</v>
      </c>
      <c r="F8" s="4" t="s">
        <v>69</v>
      </c>
      <c r="G8" s="4" t="s">
        <v>150</v>
      </c>
    </row>
    <row r="9" customFormat="false" ht="15" hidden="false" customHeight="false" outlineLevel="0" collapsed="false">
      <c r="A9" s="4" t="s">
        <v>158</v>
      </c>
      <c r="B9" s="4" t="s">
        <v>159</v>
      </c>
      <c r="C9" s="4" t="s">
        <v>117</v>
      </c>
      <c r="D9" s="4" t="s">
        <v>153</v>
      </c>
      <c r="E9" s="4" t="s">
        <v>9</v>
      </c>
      <c r="F9" s="4" t="s">
        <v>10</v>
      </c>
      <c r="G9" s="4" t="s">
        <v>150</v>
      </c>
    </row>
    <row r="10" customFormat="false" ht="15" hidden="false" customHeight="false" outlineLevel="0" collapsed="false">
      <c r="A10" s="4" t="s">
        <v>158</v>
      </c>
      <c r="B10" s="4" t="s">
        <v>159</v>
      </c>
      <c r="C10" s="4" t="s">
        <v>117</v>
      </c>
      <c r="D10" s="4" t="s">
        <v>153</v>
      </c>
      <c r="E10" s="4" t="s">
        <v>27</v>
      </c>
      <c r="F10" s="4" t="s">
        <v>28</v>
      </c>
      <c r="G10" s="4" t="s">
        <v>150</v>
      </c>
    </row>
    <row r="11" customFormat="false" ht="15" hidden="false" customHeight="false" outlineLevel="0" collapsed="false">
      <c r="A11" s="4" t="s">
        <v>158</v>
      </c>
      <c r="B11" s="4" t="s">
        <v>159</v>
      </c>
      <c r="C11" s="4" t="s">
        <v>117</v>
      </c>
      <c r="D11" s="4" t="s">
        <v>153</v>
      </c>
      <c r="E11" s="4" t="s">
        <v>32</v>
      </c>
      <c r="F11" s="4" t="s">
        <v>28</v>
      </c>
      <c r="G11" s="4" t="s">
        <v>150</v>
      </c>
    </row>
    <row r="12" customFormat="false" ht="15" hidden="false" customHeight="false" outlineLevel="0" collapsed="false">
      <c r="A12" s="4" t="s">
        <v>158</v>
      </c>
      <c r="B12" s="4" t="s">
        <v>159</v>
      </c>
      <c r="C12" s="4" t="s">
        <v>117</v>
      </c>
      <c r="D12" s="4" t="s">
        <v>153</v>
      </c>
      <c r="E12" s="4" t="s">
        <v>68</v>
      </c>
      <c r="F12" s="4" t="s">
        <v>69</v>
      </c>
      <c r="G12" s="4" t="s">
        <v>150</v>
      </c>
    </row>
    <row r="13" customFormat="false" ht="15" hidden="false" customHeight="false" outlineLevel="0" collapsed="false">
      <c r="A13" s="4" t="s">
        <v>158</v>
      </c>
      <c r="B13" s="4" t="s">
        <v>159</v>
      </c>
      <c r="C13" s="4" t="s">
        <v>117</v>
      </c>
      <c r="D13" s="4" t="s">
        <v>153</v>
      </c>
      <c r="E13" s="4" t="s">
        <v>80</v>
      </c>
      <c r="F13" s="4" t="s">
        <v>79</v>
      </c>
      <c r="G13" s="4" t="s">
        <v>150</v>
      </c>
    </row>
    <row r="14" customFormat="false" ht="15" hidden="false" customHeight="false" outlineLevel="0" collapsed="false">
      <c r="A14" s="4" t="s">
        <v>158</v>
      </c>
      <c r="B14" s="4" t="s">
        <v>159</v>
      </c>
      <c r="C14" s="4" t="s">
        <v>117</v>
      </c>
      <c r="D14" s="4" t="s">
        <v>153</v>
      </c>
      <c r="E14" s="4" t="s">
        <v>86</v>
      </c>
      <c r="F14" s="4" t="s">
        <v>79</v>
      </c>
      <c r="G14" s="4" t="s">
        <v>150</v>
      </c>
    </row>
    <row r="15" customFormat="false" ht="15" hidden="false" customHeight="false" outlineLevel="0" collapsed="false">
      <c r="A15" s="4" t="s">
        <v>158</v>
      </c>
      <c r="B15" s="4" t="s">
        <v>159</v>
      </c>
      <c r="C15" s="4" t="s">
        <v>117</v>
      </c>
      <c r="D15" s="4" t="s">
        <v>153</v>
      </c>
      <c r="E15" s="4" t="s">
        <v>97</v>
      </c>
      <c r="F15" s="4" t="s">
        <v>98</v>
      </c>
      <c r="G15" s="4" t="s">
        <v>150</v>
      </c>
    </row>
    <row r="16" customFormat="false" ht="15" hidden="false" customHeight="false" outlineLevel="0" collapsed="false">
      <c r="A16" s="4" t="s">
        <v>161</v>
      </c>
      <c r="B16" s="4" t="s">
        <v>162</v>
      </c>
      <c r="C16" s="4" t="s">
        <v>117</v>
      </c>
      <c r="D16" s="4" t="s">
        <v>153</v>
      </c>
      <c r="E16" s="4" t="s">
        <v>9</v>
      </c>
      <c r="F16" s="4" t="s">
        <v>10</v>
      </c>
      <c r="G16" s="4" t="s">
        <v>150</v>
      </c>
    </row>
    <row r="17" customFormat="false" ht="15" hidden="false" customHeight="false" outlineLevel="0" collapsed="false">
      <c r="A17" s="4" t="s">
        <v>161</v>
      </c>
      <c r="B17" s="4" t="s">
        <v>162</v>
      </c>
      <c r="C17" s="4" t="s">
        <v>117</v>
      </c>
      <c r="D17" s="4" t="s">
        <v>153</v>
      </c>
      <c r="E17" s="4" t="s">
        <v>11</v>
      </c>
      <c r="F17" s="4" t="s">
        <v>10</v>
      </c>
      <c r="G17" s="4" t="s">
        <v>432</v>
      </c>
    </row>
    <row r="18" customFormat="false" ht="15" hidden="false" customHeight="false" outlineLevel="0" collapsed="false">
      <c r="A18" s="4" t="s">
        <v>161</v>
      </c>
      <c r="B18" s="4" t="s">
        <v>162</v>
      </c>
      <c r="C18" s="4" t="s">
        <v>117</v>
      </c>
      <c r="D18" s="4" t="s">
        <v>153</v>
      </c>
      <c r="E18" s="4" t="s">
        <v>12</v>
      </c>
      <c r="F18" s="4" t="s">
        <v>10</v>
      </c>
      <c r="G18" s="4" t="s">
        <v>432</v>
      </c>
    </row>
    <row r="19" customFormat="false" ht="15" hidden="false" customHeight="false" outlineLevel="0" collapsed="false">
      <c r="A19" s="4" t="s">
        <v>161</v>
      </c>
      <c r="B19" s="4" t="s">
        <v>162</v>
      </c>
      <c r="C19" s="4" t="s">
        <v>117</v>
      </c>
      <c r="D19" s="4" t="s">
        <v>153</v>
      </c>
      <c r="E19" s="4" t="s">
        <v>21</v>
      </c>
      <c r="F19" s="4" t="s">
        <v>20</v>
      </c>
      <c r="G19" s="4" t="s">
        <v>432</v>
      </c>
    </row>
    <row r="20" customFormat="false" ht="15" hidden="false" customHeight="false" outlineLevel="0" collapsed="false">
      <c r="A20" s="4" t="s">
        <v>161</v>
      </c>
      <c r="B20" s="4" t="s">
        <v>162</v>
      </c>
      <c r="C20" s="4" t="s">
        <v>117</v>
      </c>
      <c r="D20" s="4" t="s">
        <v>153</v>
      </c>
      <c r="E20" s="4" t="s">
        <v>24</v>
      </c>
      <c r="F20" s="4" t="s">
        <v>25</v>
      </c>
      <c r="G20" s="4" t="s">
        <v>150</v>
      </c>
    </row>
    <row r="21" customFormat="false" ht="15" hidden="false" customHeight="false" outlineLevel="0" collapsed="false">
      <c r="A21" s="4" t="s">
        <v>161</v>
      </c>
      <c r="B21" s="4" t="s">
        <v>162</v>
      </c>
      <c r="C21" s="4" t="s">
        <v>117</v>
      </c>
      <c r="D21" s="4" t="s">
        <v>153</v>
      </c>
      <c r="E21" s="4" t="s">
        <v>40</v>
      </c>
      <c r="F21" s="4" t="s">
        <v>36</v>
      </c>
      <c r="G21" s="4" t="s">
        <v>432</v>
      </c>
    </row>
    <row r="22" customFormat="false" ht="15" hidden="false" customHeight="false" outlineLevel="0" collapsed="false">
      <c r="A22" s="4" t="s">
        <v>161</v>
      </c>
      <c r="B22" s="4" t="s">
        <v>162</v>
      </c>
      <c r="C22" s="4" t="s">
        <v>117</v>
      </c>
      <c r="D22" s="4" t="s">
        <v>153</v>
      </c>
      <c r="E22" s="4" t="s">
        <v>41</v>
      </c>
      <c r="F22" s="4" t="s">
        <v>42</v>
      </c>
      <c r="G22" s="4" t="s">
        <v>150</v>
      </c>
    </row>
    <row r="23" customFormat="false" ht="15" hidden="false" customHeight="false" outlineLevel="0" collapsed="false">
      <c r="A23" s="4" t="s">
        <v>161</v>
      </c>
      <c r="B23" s="4" t="s">
        <v>162</v>
      </c>
      <c r="C23" s="4" t="s">
        <v>117</v>
      </c>
      <c r="D23" s="4" t="s">
        <v>153</v>
      </c>
      <c r="E23" s="4" t="s">
        <v>45</v>
      </c>
      <c r="F23" s="4" t="s">
        <v>44</v>
      </c>
      <c r="G23" s="4" t="s">
        <v>433</v>
      </c>
    </row>
    <row r="24" customFormat="false" ht="15" hidden="false" customHeight="false" outlineLevel="0" collapsed="false">
      <c r="A24" s="4" t="s">
        <v>161</v>
      </c>
      <c r="B24" s="4" t="s">
        <v>162</v>
      </c>
      <c r="C24" s="4" t="s">
        <v>117</v>
      </c>
      <c r="D24" s="4" t="s">
        <v>153</v>
      </c>
      <c r="E24" s="4" t="s">
        <v>49</v>
      </c>
      <c r="F24" s="4" t="s">
        <v>44</v>
      </c>
      <c r="G24" s="4" t="s">
        <v>433</v>
      </c>
    </row>
    <row r="25" customFormat="false" ht="15" hidden="false" customHeight="false" outlineLevel="0" collapsed="false">
      <c r="A25" s="4" t="s">
        <v>161</v>
      </c>
      <c r="B25" s="4" t="s">
        <v>162</v>
      </c>
      <c r="C25" s="4" t="s">
        <v>117</v>
      </c>
      <c r="D25" s="4" t="s">
        <v>153</v>
      </c>
      <c r="E25" s="4" t="s">
        <v>60</v>
      </c>
      <c r="F25" s="4" t="s">
        <v>57</v>
      </c>
      <c r="G25" s="4" t="s">
        <v>432</v>
      </c>
    </row>
    <row r="26" customFormat="false" ht="15" hidden="false" customHeight="false" outlineLevel="0" collapsed="false">
      <c r="A26" s="4" t="s">
        <v>161</v>
      </c>
      <c r="B26" s="4" t="s">
        <v>162</v>
      </c>
      <c r="C26" s="4" t="s">
        <v>117</v>
      </c>
      <c r="D26" s="4" t="s">
        <v>153</v>
      </c>
      <c r="E26" s="4" t="s">
        <v>65</v>
      </c>
      <c r="F26" s="4" t="s">
        <v>66</v>
      </c>
      <c r="G26" s="4" t="s">
        <v>432</v>
      </c>
    </row>
    <row r="27" customFormat="false" ht="15" hidden="false" customHeight="false" outlineLevel="0" collapsed="false">
      <c r="A27" s="4" t="s">
        <v>161</v>
      </c>
      <c r="B27" s="4" t="s">
        <v>162</v>
      </c>
      <c r="C27" s="4" t="s">
        <v>117</v>
      </c>
      <c r="D27" s="4" t="s">
        <v>153</v>
      </c>
      <c r="E27" s="4" t="s">
        <v>68</v>
      </c>
      <c r="F27" s="4" t="s">
        <v>69</v>
      </c>
      <c r="G27" s="4" t="s">
        <v>432</v>
      </c>
    </row>
    <row r="28" customFormat="false" ht="15" hidden="false" customHeight="false" outlineLevel="0" collapsed="false">
      <c r="A28" s="4" t="s">
        <v>161</v>
      </c>
      <c r="B28" s="4" t="s">
        <v>162</v>
      </c>
      <c r="C28" s="4" t="s">
        <v>117</v>
      </c>
      <c r="D28" s="4" t="s">
        <v>153</v>
      </c>
      <c r="E28" s="4" t="s">
        <v>73</v>
      </c>
      <c r="F28" s="4" t="s">
        <v>74</v>
      </c>
      <c r="G28" s="4" t="s">
        <v>432</v>
      </c>
    </row>
    <row r="29" customFormat="false" ht="15" hidden="false" customHeight="false" outlineLevel="0" collapsed="false">
      <c r="A29" s="4" t="s">
        <v>161</v>
      </c>
      <c r="B29" s="4" t="s">
        <v>162</v>
      </c>
      <c r="C29" s="4" t="s">
        <v>117</v>
      </c>
      <c r="D29" s="4" t="s">
        <v>153</v>
      </c>
      <c r="E29" s="4" t="s">
        <v>80</v>
      </c>
      <c r="F29" s="4" t="s">
        <v>79</v>
      </c>
      <c r="G29" s="4" t="s">
        <v>432</v>
      </c>
    </row>
    <row r="30" customFormat="false" ht="15" hidden="false" customHeight="false" outlineLevel="0" collapsed="false">
      <c r="A30" s="4" t="s">
        <v>161</v>
      </c>
      <c r="B30" s="4" t="s">
        <v>162</v>
      </c>
      <c r="C30" s="4" t="s">
        <v>117</v>
      </c>
      <c r="D30" s="4" t="s">
        <v>153</v>
      </c>
      <c r="E30" s="4" t="s">
        <v>92</v>
      </c>
      <c r="F30" s="4" t="s">
        <v>93</v>
      </c>
      <c r="G30" s="4" t="s">
        <v>150</v>
      </c>
    </row>
    <row r="31" customFormat="false" ht="15" hidden="false" customHeight="false" outlineLevel="0" collapsed="false">
      <c r="A31" s="4" t="s">
        <v>161</v>
      </c>
      <c r="B31" s="4" t="s">
        <v>162</v>
      </c>
      <c r="C31" s="4" t="s">
        <v>117</v>
      </c>
      <c r="D31" s="4" t="s">
        <v>153</v>
      </c>
      <c r="E31" s="4" t="s">
        <v>96</v>
      </c>
      <c r="F31" s="4" t="s">
        <v>95</v>
      </c>
      <c r="G31" s="4" t="s">
        <v>150</v>
      </c>
    </row>
    <row r="32" customFormat="false" ht="15" hidden="false" customHeight="false" outlineLevel="0" collapsed="false">
      <c r="A32" s="4" t="s">
        <v>165</v>
      </c>
      <c r="B32" s="4" t="s">
        <v>166</v>
      </c>
      <c r="C32" s="4" t="s">
        <v>118</v>
      </c>
      <c r="D32" s="4" t="s">
        <v>144</v>
      </c>
      <c r="E32" s="4" t="s">
        <v>9</v>
      </c>
      <c r="F32" s="4" t="s">
        <v>10</v>
      </c>
      <c r="G32" s="4" t="s">
        <v>150</v>
      </c>
    </row>
    <row r="33" customFormat="false" ht="15" hidden="false" customHeight="false" outlineLevel="0" collapsed="false">
      <c r="A33" s="4" t="s">
        <v>165</v>
      </c>
      <c r="B33" s="4" t="s">
        <v>166</v>
      </c>
      <c r="C33" s="4" t="s">
        <v>118</v>
      </c>
      <c r="D33" s="4" t="s">
        <v>144</v>
      </c>
      <c r="E33" s="4" t="s">
        <v>12</v>
      </c>
      <c r="F33" s="4" t="s">
        <v>10</v>
      </c>
      <c r="G33" s="4" t="s">
        <v>150</v>
      </c>
    </row>
    <row r="34" customFormat="false" ht="15" hidden="false" customHeight="false" outlineLevel="0" collapsed="false">
      <c r="A34" s="4" t="s">
        <v>165</v>
      </c>
      <c r="B34" s="4" t="s">
        <v>166</v>
      </c>
      <c r="C34" s="4" t="s">
        <v>118</v>
      </c>
      <c r="D34" s="4" t="s">
        <v>144</v>
      </c>
      <c r="E34" s="4" t="s">
        <v>17</v>
      </c>
      <c r="F34" s="4" t="s">
        <v>10</v>
      </c>
      <c r="G34" s="4" t="s">
        <v>150</v>
      </c>
    </row>
    <row r="35" customFormat="false" ht="15" hidden="false" customHeight="false" outlineLevel="0" collapsed="false">
      <c r="A35" s="4" t="s">
        <v>165</v>
      </c>
      <c r="B35" s="4" t="s">
        <v>166</v>
      </c>
      <c r="C35" s="4" t="s">
        <v>118</v>
      </c>
      <c r="D35" s="4" t="s">
        <v>144</v>
      </c>
      <c r="E35" s="4" t="s">
        <v>21</v>
      </c>
      <c r="F35" s="4" t="s">
        <v>20</v>
      </c>
      <c r="G35" s="4" t="s">
        <v>150</v>
      </c>
    </row>
    <row r="36" customFormat="false" ht="15" hidden="false" customHeight="false" outlineLevel="0" collapsed="false">
      <c r="A36" s="4" t="s">
        <v>165</v>
      </c>
      <c r="B36" s="4" t="s">
        <v>166</v>
      </c>
      <c r="C36" s="4" t="s">
        <v>118</v>
      </c>
      <c r="D36" s="4" t="s">
        <v>144</v>
      </c>
      <c r="E36" s="4" t="s">
        <v>35</v>
      </c>
      <c r="F36" s="4" t="s">
        <v>36</v>
      </c>
      <c r="G36" s="4" t="s">
        <v>150</v>
      </c>
    </row>
    <row r="37" customFormat="false" ht="15" hidden="false" customHeight="false" outlineLevel="0" collapsed="false">
      <c r="A37" s="4" t="s">
        <v>165</v>
      </c>
      <c r="B37" s="4" t="s">
        <v>166</v>
      </c>
      <c r="C37" s="4" t="s">
        <v>118</v>
      </c>
      <c r="D37" s="4" t="s">
        <v>144</v>
      </c>
      <c r="E37" s="4" t="s">
        <v>41</v>
      </c>
      <c r="F37" s="4" t="s">
        <v>42</v>
      </c>
      <c r="G37" s="4" t="s">
        <v>150</v>
      </c>
    </row>
    <row r="38" customFormat="false" ht="15" hidden="false" customHeight="false" outlineLevel="0" collapsed="false">
      <c r="A38" s="4" t="s">
        <v>165</v>
      </c>
      <c r="B38" s="4" t="s">
        <v>166</v>
      </c>
      <c r="C38" s="4" t="s">
        <v>118</v>
      </c>
      <c r="D38" s="4" t="s">
        <v>144</v>
      </c>
      <c r="E38" s="4" t="s">
        <v>65</v>
      </c>
      <c r="F38" s="4" t="s">
        <v>66</v>
      </c>
      <c r="G38" s="4" t="s">
        <v>150</v>
      </c>
    </row>
    <row r="39" customFormat="false" ht="15" hidden="false" customHeight="false" outlineLevel="0" collapsed="false">
      <c r="A39" s="4" t="s">
        <v>165</v>
      </c>
      <c r="B39" s="4" t="s">
        <v>166</v>
      </c>
      <c r="C39" s="4" t="s">
        <v>118</v>
      </c>
      <c r="D39" s="4" t="s">
        <v>144</v>
      </c>
      <c r="E39" s="4" t="s">
        <v>68</v>
      </c>
      <c r="F39" s="4" t="s">
        <v>69</v>
      </c>
      <c r="G39" s="4" t="s">
        <v>150</v>
      </c>
    </row>
    <row r="40" customFormat="false" ht="15" hidden="false" customHeight="false" outlineLevel="0" collapsed="false">
      <c r="A40" s="4" t="s">
        <v>165</v>
      </c>
      <c r="B40" s="4" t="s">
        <v>166</v>
      </c>
      <c r="C40" s="4" t="s">
        <v>118</v>
      </c>
      <c r="D40" s="4" t="s">
        <v>144</v>
      </c>
      <c r="E40" s="4" t="s">
        <v>81</v>
      </c>
      <c r="F40" s="4" t="s">
        <v>79</v>
      </c>
      <c r="G40" s="4" t="s">
        <v>150</v>
      </c>
    </row>
    <row r="41" customFormat="false" ht="15" hidden="false" customHeight="false" outlineLevel="0" collapsed="false">
      <c r="A41" s="4" t="s">
        <v>165</v>
      </c>
      <c r="B41" s="4" t="s">
        <v>166</v>
      </c>
      <c r="C41" s="4" t="s">
        <v>118</v>
      </c>
      <c r="D41" s="4" t="s">
        <v>144</v>
      </c>
      <c r="E41" s="4" t="s">
        <v>94</v>
      </c>
      <c r="F41" s="4" t="s">
        <v>95</v>
      </c>
      <c r="G41" s="4" t="s">
        <v>150</v>
      </c>
    </row>
    <row r="42" customFormat="false" ht="15" hidden="false" customHeight="false" outlineLevel="0" collapsed="false">
      <c r="A42" s="4" t="s">
        <v>170</v>
      </c>
      <c r="B42" s="4" t="s">
        <v>171</v>
      </c>
      <c r="C42" s="4" t="s">
        <v>118</v>
      </c>
      <c r="D42" s="4" t="s">
        <v>153</v>
      </c>
      <c r="E42" s="4" t="s">
        <v>9</v>
      </c>
      <c r="F42" s="4" t="s">
        <v>10</v>
      </c>
      <c r="G42" s="4" t="s">
        <v>150</v>
      </c>
    </row>
    <row r="43" customFormat="false" ht="15" hidden="false" customHeight="false" outlineLevel="0" collapsed="false">
      <c r="A43" s="4" t="s">
        <v>170</v>
      </c>
      <c r="B43" s="4" t="s">
        <v>171</v>
      </c>
      <c r="C43" s="4" t="s">
        <v>118</v>
      </c>
      <c r="D43" s="4" t="s">
        <v>153</v>
      </c>
      <c r="E43" s="4" t="s">
        <v>11</v>
      </c>
      <c r="F43" s="4" t="s">
        <v>10</v>
      </c>
      <c r="G43" s="4" t="s">
        <v>150</v>
      </c>
    </row>
    <row r="44" customFormat="false" ht="15" hidden="false" customHeight="false" outlineLevel="0" collapsed="false">
      <c r="A44" s="4" t="s">
        <v>170</v>
      </c>
      <c r="B44" s="4" t="s">
        <v>171</v>
      </c>
      <c r="C44" s="4" t="s">
        <v>118</v>
      </c>
      <c r="D44" s="4" t="s">
        <v>153</v>
      </c>
      <c r="E44" s="4" t="s">
        <v>12</v>
      </c>
      <c r="F44" s="4" t="s">
        <v>10</v>
      </c>
      <c r="G44" s="4" t="s">
        <v>150</v>
      </c>
    </row>
    <row r="45" customFormat="false" ht="15" hidden="false" customHeight="false" outlineLevel="0" collapsed="false">
      <c r="A45" s="4" t="s">
        <v>170</v>
      </c>
      <c r="B45" s="4" t="s">
        <v>171</v>
      </c>
      <c r="C45" s="4" t="s">
        <v>118</v>
      </c>
      <c r="D45" s="4" t="s">
        <v>153</v>
      </c>
      <c r="E45" s="4" t="s">
        <v>13</v>
      </c>
      <c r="F45" s="4" t="s">
        <v>10</v>
      </c>
      <c r="G45" s="4" t="s">
        <v>150</v>
      </c>
    </row>
    <row r="46" customFormat="false" ht="15" hidden="false" customHeight="false" outlineLevel="0" collapsed="false">
      <c r="A46" s="4" t="s">
        <v>170</v>
      </c>
      <c r="B46" s="4" t="s">
        <v>171</v>
      </c>
      <c r="C46" s="4" t="s">
        <v>118</v>
      </c>
      <c r="D46" s="4" t="s">
        <v>153</v>
      </c>
      <c r="E46" s="4" t="s">
        <v>17</v>
      </c>
      <c r="F46" s="4" t="s">
        <v>10</v>
      </c>
      <c r="G46" s="4" t="s">
        <v>150</v>
      </c>
    </row>
    <row r="47" customFormat="false" ht="15" hidden="false" customHeight="false" outlineLevel="0" collapsed="false">
      <c r="A47" s="4" t="s">
        <v>170</v>
      </c>
      <c r="B47" s="4" t="s">
        <v>171</v>
      </c>
      <c r="C47" s="4" t="s">
        <v>118</v>
      </c>
      <c r="D47" s="4" t="s">
        <v>153</v>
      </c>
      <c r="E47" s="4" t="s">
        <v>21</v>
      </c>
      <c r="F47" s="4" t="s">
        <v>20</v>
      </c>
      <c r="G47" s="4" t="s">
        <v>150</v>
      </c>
    </row>
    <row r="48" customFormat="false" ht="15" hidden="false" customHeight="false" outlineLevel="0" collapsed="false">
      <c r="A48" s="4" t="s">
        <v>170</v>
      </c>
      <c r="B48" s="4" t="s">
        <v>171</v>
      </c>
      <c r="C48" s="4" t="s">
        <v>118</v>
      </c>
      <c r="D48" s="4" t="s">
        <v>153</v>
      </c>
      <c r="E48" s="4" t="s">
        <v>35</v>
      </c>
      <c r="F48" s="4" t="s">
        <v>36</v>
      </c>
      <c r="G48" s="4" t="s">
        <v>150</v>
      </c>
    </row>
    <row r="49" customFormat="false" ht="15" hidden="false" customHeight="false" outlineLevel="0" collapsed="false">
      <c r="A49" s="4" t="s">
        <v>170</v>
      </c>
      <c r="B49" s="4" t="s">
        <v>171</v>
      </c>
      <c r="C49" s="4" t="s">
        <v>118</v>
      </c>
      <c r="D49" s="4" t="s">
        <v>153</v>
      </c>
      <c r="E49" s="4" t="s">
        <v>41</v>
      </c>
      <c r="F49" s="4" t="s">
        <v>42</v>
      </c>
      <c r="G49" s="4" t="s">
        <v>150</v>
      </c>
    </row>
    <row r="50" customFormat="false" ht="15" hidden="false" customHeight="false" outlineLevel="0" collapsed="false">
      <c r="A50" s="4" t="s">
        <v>170</v>
      </c>
      <c r="B50" s="4" t="s">
        <v>171</v>
      </c>
      <c r="C50" s="4" t="s">
        <v>118</v>
      </c>
      <c r="D50" s="4" t="s">
        <v>153</v>
      </c>
      <c r="E50" s="4" t="s">
        <v>65</v>
      </c>
      <c r="F50" s="4" t="s">
        <v>66</v>
      </c>
      <c r="G50" s="4" t="s">
        <v>432</v>
      </c>
    </row>
    <row r="51" customFormat="false" ht="15" hidden="false" customHeight="false" outlineLevel="0" collapsed="false">
      <c r="A51" s="4" t="s">
        <v>170</v>
      </c>
      <c r="B51" s="4" t="s">
        <v>171</v>
      </c>
      <c r="C51" s="4" t="s">
        <v>118</v>
      </c>
      <c r="D51" s="4" t="s">
        <v>153</v>
      </c>
      <c r="E51" s="4" t="s">
        <v>68</v>
      </c>
      <c r="F51" s="4" t="s">
        <v>69</v>
      </c>
      <c r="G51" s="4" t="s">
        <v>150</v>
      </c>
    </row>
    <row r="52" customFormat="false" ht="15" hidden="false" customHeight="false" outlineLevel="0" collapsed="false">
      <c r="A52" s="4" t="s">
        <v>170</v>
      </c>
      <c r="B52" s="4" t="s">
        <v>171</v>
      </c>
      <c r="C52" s="4" t="s">
        <v>118</v>
      </c>
      <c r="D52" s="4" t="s">
        <v>153</v>
      </c>
      <c r="E52" s="4" t="s">
        <v>81</v>
      </c>
      <c r="F52" s="4" t="s">
        <v>79</v>
      </c>
      <c r="G52" s="4" t="s">
        <v>150</v>
      </c>
    </row>
    <row r="53" customFormat="false" ht="15" hidden="false" customHeight="false" outlineLevel="0" collapsed="false">
      <c r="A53" s="4" t="s">
        <v>170</v>
      </c>
      <c r="B53" s="4" t="s">
        <v>171</v>
      </c>
      <c r="C53" s="4" t="s">
        <v>118</v>
      </c>
      <c r="D53" s="4" t="s">
        <v>153</v>
      </c>
      <c r="E53" s="4" t="s">
        <v>94</v>
      </c>
      <c r="F53" s="4" t="s">
        <v>95</v>
      </c>
      <c r="G53" s="4" t="s">
        <v>150</v>
      </c>
    </row>
    <row r="54" customFormat="false" ht="15" hidden="false" customHeight="false" outlineLevel="0" collapsed="false">
      <c r="A54" s="4" t="s">
        <v>173</v>
      </c>
      <c r="B54" s="4" t="s">
        <v>174</v>
      </c>
      <c r="C54" s="4" t="s">
        <v>118</v>
      </c>
      <c r="D54" s="4" t="s">
        <v>153</v>
      </c>
      <c r="E54" s="4" t="s">
        <v>9</v>
      </c>
      <c r="F54" s="4" t="s">
        <v>10</v>
      </c>
      <c r="G54" s="4" t="s">
        <v>432</v>
      </c>
    </row>
    <row r="55" customFormat="false" ht="15" hidden="false" customHeight="false" outlineLevel="0" collapsed="false">
      <c r="A55" s="4" t="s">
        <v>173</v>
      </c>
      <c r="B55" s="4" t="s">
        <v>174</v>
      </c>
      <c r="C55" s="4" t="s">
        <v>118</v>
      </c>
      <c r="D55" s="4" t="s">
        <v>153</v>
      </c>
      <c r="E55" s="4" t="s">
        <v>11</v>
      </c>
      <c r="F55" s="4" t="s">
        <v>10</v>
      </c>
      <c r="G55" s="4" t="s">
        <v>432</v>
      </c>
    </row>
    <row r="56" customFormat="false" ht="15" hidden="false" customHeight="false" outlineLevel="0" collapsed="false">
      <c r="A56" s="4" t="s">
        <v>173</v>
      </c>
      <c r="B56" s="4" t="s">
        <v>174</v>
      </c>
      <c r="C56" s="4" t="s">
        <v>118</v>
      </c>
      <c r="D56" s="4" t="s">
        <v>153</v>
      </c>
      <c r="E56" s="4" t="s">
        <v>12</v>
      </c>
      <c r="F56" s="4" t="s">
        <v>10</v>
      </c>
      <c r="G56" s="4" t="s">
        <v>150</v>
      </c>
    </row>
    <row r="57" customFormat="false" ht="15" hidden="false" customHeight="false" outlineLevel="0" collapsed="false">
      <c r="A57" s="4" t="s">
        <v>173</v>
      </c>
      <c r="B57" s="4" t="s">
        <v>174</v>
      </c>
      <c r="C57" s="4" t="s">
        <v>118</v>
      </c>
      <c r="D57" s="4" t="s">
        <v>153</v>
      </c>
      <c r="E57" s="4" t="s">
        <v>13</v>
      </c>
      <c r="F57" s="4" t="s">
        <v>10</v>
      </c>
      <c r="G57" s="4" t="s">
        <v>432</v>
      </c>
    </row>
    <row r="58" customFormat="false" ht="15" hidden="false" customHeight="false" outlineLevel="0" collapsed="false">
      <c r="A58" s="4" t="s">
        <v>173</v>
      </c>
      <c r="B58" s="4" t="s">
        <v>174</v>
      </c>
      <c r="C58" s="4" t="s">
        <v>118</v>
      </c>
      <c r="D58" s="4" t="s">
        <v>153</v>
      </c>
      <c r="E58" s="4" t="s">
        <v>21</v>
      </c>
      <c r="F58" s="4" t="s">
        <v>20</v>
      </c>
      <c r="G58" s="4" t="s">
        <v>432</v>
      </c>
    </row>
    <row r="59" customFormat="false" ht="15" hidden="false" customHeight="false" outlineLevel="0" collapsed="false">
      <c r="A59" s="4" t="s">
        <v>173</v>
      </c>
      <c r="B59" s="4" t="s">
        <v>174</v>
      </c>
      <c r="C59" s="4" t="s">
        <v>118</v>
      </c>
      <c r="D59" s="4" t="s">
        <v>153</v>
      </c>
      <c r="E59" s="4" t="s">
        <v>22</v>
      </c>
      <c r="F59" s="4" t="s">
        <v>20</v>
      </c>
      <c r="G59" s="4" t="s">
        <v>433</v>
      </c>
    </row>
    <row r="60" customFormat="false" ht="15" hidden="false" customHeight="false" outlineLevel="0" collapsed="false">
      <c r="A60" s="4" t="s">
        <v>173</v>
      </c>
      <c r="B60" s="4" t="s">
        <v>174</v>
      </c>
      <c r="C60" s="4" t="s">
        <v>118</v>
      </c>
      <c r="D60" s="4" t="s">
        <v>153</v>
      </c>
      <c r="E60" s="4" t="s">
        <v>33</v>
      </c>
      <c r="F60" s="4" t="s">
        <v>28</v>
      </c>
      <c r="G60" s="4" t="s">
        <v>150</v>
      </c>
    </row>
    <row r="61" customFormat="false" ht="15" hidden="false" customHeight="false" outlineLevel="0" collapsed="false">
      <c r="A61" s="4" t="s">
        <v>173</v>
      </c>
      <c r="B61" s="4" t="s">
        <v>174</v>
      </c>
      <c r="C61" s="4" t="s">
        <v>118</v>
      </c>
      <c r="D61" s="4" t="s">
        <v>153</v>
      </c>
      <c r="E61" s="4" t="s">
        <v>35</v>
      </c>
      <c r="F61" s="4" t="s">
        <v>36</v>
      </c>
      <c r="G61" s="4" t="s">
        <v>150</v>
      </c>
    </row>
    <row r="62" customFormat="false" ht="15" hidden="false" customHeight="false" outlineLevel="0" collapsed="false">
      <c r="A62" s="4" t="s">
        <v>173</v>
      </c>
      <c r="B62" s="4" t="s">
        <v>174</v>
      </c>
      <c r="C62" s="4" t="s">
        <v>118</v>
      </c>
      <c r="D62" s="4" t="s">
        <v>153</v>
      </c>
      <c r="E62" s="4" t="s">
        <v>41</v>
      </c>
      <c r="F62" s="4" t="s">
        <v>42</v>
      </c>
      <c r="G62" s="4" t="s">
        <v>150</v>
      </c>
    </row>
    <row r="63" customFormat="false" ht="15" hidden="false" customHeight="false" outlineLevel="0" collapsed="false">
      <c r="A63" s="4" t="s">
        <v>173</v>
      </c>
      <c r="B63" s="4" t="s">
        <v>174</v>
      </c>
      <c r="C63" s="4" t="s">
        <v>118</v>
      </c>
      <c r="D63" s="4" t="s">
        <v>153</v>
      </c>
      <c r="E63" s="4" t="s">
        <v>65</v>
      </c>
      <c r="F63" s="4" t="s">
        <v>66</v>
      </c>
      <c r="G63" s="4" t="s">
        <v>432</v>
      </c>
    </row>
    <row r="64" customFormat="false" ht="15" hidden="false" customHeight="false" outlineLevel="0" collapsed="false">
      <c r="A64" s="4" t="s">
        <v>173</v>
      </c>
      <c r="B64" s="4" t="s">
        <v>174</v>
      </c>
      <c r="C64" s="4" t="s">
        <v>118</v>
      </c>
      <c r="D64" s="4" t="s">
        <v>153</v>
      </c>
      <c r="E64" s="4" t="s">
        <v>68</v>
      </c>
      <c r="F64" s="4" t="s">
        <v>69</v>
      </c>
      <c r="G64" s="4" t="s">
        <v>432</v>
      </c>
    </row>
    <row r="65" customFormat="false" ht="15" hidden="false" customHeight="false" outlineLevel="0" collapsed="false">
      <c r="A65" s="4" t="s">
        <v>173</v>
      </c>
      <c r="B65" s="4" t="s">
        <v>174</v>
      </c>
      <c r="C65" s="4" t="s">
        <v>118</v>
      </c>
      <c r="D65" s="4" t="s">
        <v>153</v>
      </c>
      <c r="E65" s="4" t="s">
        <v>76</v>
      </c>
      <c r="F65" s="4" t="s">
        <v>74</v>
      </c>
      <c r="G65" s="4" t="s">
        <v>150</v>
      </c>
    </row>
    <row r="66" customFormat="false" ht="15" hidden="false" customHeight="false" outlineLevel="0" collapsed="false">
      <c r="A66" s="4" t="s">
        <v>173</v>
      </c>
      <c r="B66" s="4" t="s">
        <v>174</v>
      </c>
      <c r="C66" s="4" t="s">
        <v>118</v>
      </c>
      <c r="D66" s="4" t="s">
        <v>153</v>
      </c>
      <c r="E66" s="4" t="s">
        <v>78</v>
      </c>
      <c r="F66" s="4" t="s">
        <v>79</v>
      </c>
      <c r="G66" s="4" t="s">
        <v>432</v>
      </c>
    </row>
    <row r="67" customFormat="false" ht="15" hidden="false" customHeight="false" outlineLevel="0" collapsed="false">
      <c r="A67" s="4" t="s">
        <v>173</v>
      </c>
      <c r="B67" s="4" t="s">
        <v>174</v>
      </c>
      <c r="C67" s="4" t="s">
        <v>118</v>
      </c>
      <c r="D67" s="4" t="s">
        <v>153</v>
      </c>
      <c r="E67" s="4" t="s">
        <v>81</v>
      </c>
      <c r="F67" s="4" t="s">
        <v>79</v>
      </c>
      <c r="G67" s="4" t="s">
        <v>432</v>
      </c>
    </row>
    <row r="68" customFormat="false" ht="15" hidden="false" customHeight="false" outlineLevel="0" collapsed="false">
      <c r="A68" s="4" t="s">
        <v>173</v>
      </c>
      <c r="B68" s="4" t="s">
        <v>174</v>
      </c>
      <c r="C68" s="4" t="s">
        <v>118</v>
      </c>
      <c r="D68" s="4" t="s">
        <v>153</v>
      </c>
      <c r="E68" s="4" t="s">
        <v>86</v>
      </c>
      <c r="F68" s="4" t="s">
        <v>79</v>
      </c>
      <c r="G68" s="4" t="s">
        <v>150</v>
      </c>
    </row>
    <row r="69" customFormat="false" ht="15" hidden="false" customHeight="false" outlineLevel="0" collapsed="false">
      <c r="A69" s="4" t="s">
        <v>173</v>
      </c>
      <c r="B69" s="4" t="s">
        <v>174</v>
      </c>
      <c r="C69" s="4" t="s">
        <v>118</v>
      </c>
      <c r="D69" s="4" t="s">
        <v>153</v>
      </c>
      <c r="E69" s="4" t="s">
        <v>94</v>
      </c>
      <c r="F69" s="4" t="s">
        <v>95</v>
      </c>
      <c r="G69" s="4" t="s">
        <v>150</v>
      </c>
    </row>
    <row r="70" customFormat="false" ht="15" hidden="false" customHeight="false" outlineLevel="0" collapsed="false">
      <c r="A70" s="4" t="s">
        <v>173</v>
      </c>
      <c r="B70" s="4" t="s">
        <v>174</v>
      </c>
      <c r="C70" s="4" t="s">
        <v>118</v>
      </c>
      <c r="D70" s="4" t="s">
        <v>153</v>
      </c>
      <c r="E70" s="4" t="s">
        <v>103</v>
      </c>
      <c r="F70" s="4" t="s">
        <v>101</v>
      </c>
      <c r="G70" s="4" t="s">
        <v>432</v>
      </c>
    </row>
    <row r="71" customFormat="false" ht="15" hidden="false" customHeight="false" outlineLevel="0" collapsed="false">
      <c r="A71" s="4" t="s">
        <v>173</v>
      </c>
      <c r="B71" s="4" t="s">
        <v>174</v>
      </c>
      <c r="C71" s="4" t="s">
        <v>118</v>
      </c>
      <c r="D71" s="4" t="s">
        <v>153</v>
      </c>
      <c r="E71" s="4" t="s">
        <v>108</v>
      </c>
      <c r="F71" s="4" t="s">
        <v>107</v>
      </c>
      <c r="G71" s="4" t="s">
        <v>432</v>
      </c>
    </row>
    <row r="72" customFormat="false" ht="15" hidden="false" customHeight="false" outlineLevel="0" collapsed="false">
      <c r="A72" s="4" t="s">
        <v>181</v>
      </c>
      <c r="B72" s="4" t="s">
        <v>182</v>
      </c>
      <c r="C72" s="4" t="s">
        <v>118</v>
      </c>
      <c r="D72" s="4" t="s">
        <v>144</v>
      </c>
      <c r="E72" s="4" t="s">
        <v>65</v>
      </c>
      <c r="F72" s="4" t="s">
        <v>66</v>
      </c>
      <c r="G72" s="4" t="s">
        <v>433</v>
      </c>
    </row>
    <row r="73" customFormat="false" ht="15" hidden="false" customHeight="false" outlineLevel="0" collapsed="false">
      <c r="A73" s="4" t="s">
        <v>181</v>
      </c>
      <c r="B73" s="4" t="s">
        <v>182</v>
      </c>
      <c r="C73" s="4" t="s">
        <v>118</v>
      </c>
      <c r="D73" s="4" t="s">
        <v>144</v>
      </c>
      <c r="E73" s="4" t="s">
        <v>68</v>
      </c>
      <c r="F73" s="4" t="s">
        <v>69</v>
      </c>
      <c r="G73" s="4" t="s">
        <v>433</v>
      </c>
    </row>
    <row r="74" customFormat="false" ht="15" hidden="false" customHeight="false" outlineLevel="0" collapsed="false">
      <c r="A74" s="4" t="s">
        <v>181</v>
      </c>
      <c r="B74" s="4" t="s">
        <v>182</v>
      </c>
      <c r="C74" s="4" t="s">
        <v>118</v>
      </c>
      <c r="D74" s="4" t="s">
        <v>144</v>
      </c>
      <c r="E74" s="4" t="s">
        <v>80</v>
      </c>
      <c r="F74" s="4" t="s">
        <v>79</v>
      </c>
      <c r="G74" s="4" t="s">
        <v>433</v>
      </c>
    </row>
    <row r="75" customFormat="false" ht="15" hidden="false" customHeight="false" outlineLevel="0" collapsed="false">
      <c r="A75" s="4" t="s">
        <v>185</v>
      </c>
      <c r="B75" s="4" t="s">
        <v>186</v>
      </c>
      <c r="C75" s="4" t="s">
        <v>118</v>
      </c>
      <c r="D75" s="4" t="s">
        <v>144</v>
      </c>
      <c r="E75" s="4" t="s">
        <v>9</v>
      </c>
      <c r="F75" s="4" t="s">
        <v>10</v>
      </c>
      <c r="G75" s="4" t="s">
        <v>432</v>
      </c>
    </row>
    <row r="76" customFormat="false" ht="15" hidden="false" customHeight="false" outlineLevel="0" collapsed="false">
      <c r="A76" s="4" t="s">
        <v>185</v>
      </c>
      <c r="B76" s="4" t="s">
        <v>186</v>
      </c>
      <c r="C76" s="4" t="s">
        <v>118</v>
      </c>
      <c r="D76" s="4" t="s">
        <v>144</v>
      </c>
      <c r="E76" s="4" t="s">
        <v>11</v>
      </c>
      <c r="F76" s="4" t="s">
        <v>10</v>
      </c>
      <c r="G76" s="4" t="s">
        <v>432</v>
      </c>
    </row>
    <row r="77" customFormat="false" ht="15" hidden="false" customHeight="false" outlineLevel="0" collapsed="false">
      <c r="A77" s="4" t="s">
        <v>185</v>
      </c>
      <c r="B77" s="4" t="s">
        <v>186</v>
      </c>
      <c r="C77" s="4" t="s">
        <v>118</v>
      </c>
      <c r="D77" s="4" t="s">
        <v>144</v>
      </c>
      <c r="E77" s="4" t="s">
        <v>12</v>
      </c>
      <c r="F77" s="4" t="s">
        <v>10</v>
      </c>
      <c r="G77" s="4" t="s">
        <v>432</v>
      </c>
    </row>
    <row r="78" customFormat="false" ht="15" hidden="false" customHeight="false" outlineLevel="0" collapsed="false">
      <c r="A78" s="4" t="s">
        <v>185</v>
      </c>
      <c r="B78" s="4" t="s">
        <v>186</v>
      </c>
      <c r="C78" s="4" t="s">
        <v>118</v>
      </c>
      <c r="D78" s="4" t="s">
        <v>144</v>
      </c>
      <c r="E78" s="4" t="s">
        <v>13</v>
      </c>
      <c r="F78" s="4" t="s">
        <v>10</v>
      </c>
      <c r="G78" s="4" t="s">
        <v>432</v>
      </c>
    </row>
    <row r="79" customFormat="false" ht="15" hidden="false" customHeight="false" outlineLevel="0" collapsed="false">
      <c r="A79" s="4" t="s">
        <v>185</v>
      </c>
      <c r="B79" s="4" t="s">
        <v>186</v>
      </c>
      <c r="C79" s="4" t="s">
        <v>118</v>
      </c>
      <c r="D79" s="4" t="s">
        <v>144</v>
      </c>
      <c r="E79" s="4" t="s">
        <v>17</v>
      </c>
      <c r="F79" s="4" t="s">
        <v>10</v>
      </c>
      <c r="G79" s="4" t="s">
        <v>432</v>
      </c>
    </row>
    <row r="80" customFormat="false" ht="15" hidden="false" customHeight="false" outlineLevel="0" collapsed="false">
      <c r="A80" s="4" t="s">
        <v>185</v>
      </c>
      <c r="B80" s="4" t="s">
        <v>186</v>
      </c>
      <c r="C80" s="4" t="s">
        <v>118</v>
      </c>
      <c r="D80" s="4" t="s">
        <v>144</v>
      </c>
      <c r="E80" s="4" t="s">
        <v>22</v>
      </c>
      <c r="F80" s="4" t="s">
        <v>20</v>
      </c>
      <c r="G80" s="4" t="s">
        <v>433</v>
      </c>
    </row>
    <row r="81" customFormat="false" ht="15" hidden="false" customHeight="false" outlineLevel="0" collapsed="false">
      <c r="A81" s="4" t="s">
        <v>185</v>
      </c>
      <c r="B81" s="4" t="s">
        <v>186</v>
      </c>
      <c r="C81" s="4" t="s">
        <v>118</v>
      </c>
      <c r="D81" s="4" t="s">
        <v>144</v>
      </c>
      <c r="E81" s="4" t="s">
        <v>27</v>
      </c>
      <c r="F81" s="4" t="s">
        <v>28</v>
      </c>
      <c r="G81" s="4" t="s">
        <v>150</v>
      </c>
    </row>
    <row r="82" customFormat="false" ht="15" hidden="false" customHeight="false" outlineLevel="0" collapsed="false">
      <c r="A82" s="4" t="s">
        <v>185</v>
      </c>
      <c r="B82" s="4" t="s">
        <v>186</v>
      </c>
      <c r="C82" s="4" t="s">
        <v>118</v>
      </c>
      <c r="D82" s="4" t="s">
        <v>144</v>
      </c>
      <c r="E82" s="4" t="s">
        <v>33</v>
      </c>
      <c r="F82" s="4" t="s">
        <v>28</v>
      </c>
      <c r="G82" s="4" t="s">
        <v>150</v>
      </c>
    </row>
    <row r="83" customFormat="false" ht="15" hidden="false" customHeight="false" outlineLevel="0" collapsed="false">
      <c r="A83" s="4" t="s">
        <v>185</v>
      </c>
      <c r="B83" s="4" t="s">
        <v>186</v>
      </c>
      <c r="C83" s="4" t="s">
        <v>118</v>
      </c>
      <c r="D83" s="4" t="s">
        <v>144</v>
      </c>
      <c r="E83" s="4" t="s">
        <v>35</v>
      </c>
      <c r="F83" s="4" t="s">
        <v>36</v>
      </c>
      <c r="G83" s="4" t="s">
        <v>432</v>
      </c>
    </row>
    <row r="84" customFormat="false" ht="15" hidden="false" customHeight="false" outlineLevel="0" collapsed="false">
      <c r="A84" s="4" t="s">
        <v>185</v>
      </c>
      <c r="B84" s="4" t="s">
        <v>186</v>
      </c>
      <c r="C84" s="4" t="s">
        <v>118</v>
      </c>
      <c r="D84" s="4" t="s">
        <v>144</v>
      </c>
      <c r="E84" s="4" t="s">
        <v>41</v>
      </c>
      <c r="F84" s="4" t="s">
        <v>42</v>
      </c>
      <c r="G84" s="4" t="s">
        <v>150</v>
      </c>
    </row>
    <row r="85" customFormat="false" ht="15" hidden="false" customHeight="false" outlineLevel="0" collapsed="false">
      <c r="A85" s="4" t="s">
        <v>185</v>
      </c>
      <c r="B85" s="4" t="s">
        <v>186</v>
      </c>
      <c r="C85" s="4" t="s">
        <v>118</v>
      </c>
      <c r="D85" s="4" t="s">
        <v>144</v>
      </c>
      <c r="E85" s="4" t="s">
        <v>45</v>
      </c>
      <c r="F85" s="4" t="s">
        <v>44</v>
      </c>
      <c r="G85" s="4" t="s">
        <v>433</v>
      </c>
    </row>
    <row r="86" customFormat="false" ht="15" hidden="false" customHeight="false" outlineLevel="0" collapsed="false">
      <c r="A86" s="4" t="s">
        <v>185</v>
      </c>
      <c r="B86" s="4" t="s">
        <v>186</v>
      </c>
      <c r="C86" s="4" t="s">
        <v>118</v>
      </c>
      <c r="D86" s="4" t="s">
        <v>144</v>
      </c>
      <c r="E86" s="4" t="s">
        <v>49</v>
      </c>
      <c r="F86" s="4" t="s">
        <v>44</v>
      </c>
      <c r="G86" s="4" t="s">
        <v>433</v>
      </c>
    </row>
    <row r="87" customFormat="false" ht="15" hidden="false" customHeight="false" outlineLevel="0" collapsed="false">
      <c r="A87" s="4" t="s">
        <v>185</v>
      </c>
      <c r="B87" s="4" t="s">
        <v>186</v>
      </c>
      <c r="C87" s="4" t="s">
        <v>118</v>
      </c>
      <c r="D87" s="4" t="s">
        <v>144</v>
      </c>
      <c r="E87" s="4" t="s">
        <v>61</v>
      </c>
      <c r="F87" s="4" t="s">
        <v>57</v>
      </c>
      <c r="G87" s="4" t="s">
        <v>433</v>
      </c>
    </row>
    <row r="88" customFormat="false" ht="15" hidden="false" customHeight="false" outlineLevel="0" collapsed="false">
      <c r="A88" s="4" t="s">
        <v>185</v>
      </c>
      <c r="B88" s="4" t="s">
        <v>186</v>
      </c>
      <c r="C88" s="4" t="s">
        <v>118</v>
      </c>
      <c r="D88" s="4" t="s">
        <v>144</v>
      </c>
      <c r="E88" s="4" t="s">
        <v>65</v>
      </c>
      <c r="F88" s="4" t="s">
        <v>66</v>
      </c>
      <c r="G88" s="4" t="s">
        <v>432</v>
      </c>
    </row>
    <row r="89" customFormat="false" ht="15" hidden="false" customHeight="false" outlineLevel="0" collapsed="false">
      <c r="A89" s="4" t="s">
        <v>185</v>
      </c>
      <c r="B89" s="4" t="s">
        <v>186</v>
      </c>
      <c r="C89" s="4" t="s">
        <v>118</v>
      </c>
      <c r="D89" s="4" t="s">
        <v>144</v>
      </c>
      <c r="E89" s="4" t="s">
        <v>67</v>
      </c>
      <c r="F89" s="4" t="s">
        <v>66</v>
      </c>
      <c r="G89" s="4" t="s">
        <v>150</v>
      </c>
    </row>
    <row r="90" customFormat="false" ht="15" hidden="false" customHeight="false" outlineLevel="0" collapsed="false">
      <c r="A90" s="4" t="s">
        <v>185</v>
      </c>
      <c r="B90" s="4" t="s">
        <v>186</v>
      </c>
      <c r="C90" s="4" t="s">
        <v>118</v>
      </c>
      <c r="D90" s="4" t="s">
        <v>144</v>
      </c>
      <c r="E90" s="4" t="s">
        <v>68</v>
      </c>
      <c r="F90" s="4" t="s">
        <v>69</v>
      </c>
      <c r="G90" s="4" t="s">
        <v>432</v>
      </c>
    </row>
    <row r="91" customFormat="false" ht="15" hidden="false" customHeight="false" outlineLevel="0" collapsed="false">
      <c r="A91" s="4" t="s">
        <v>185</v>
      </c>
      <c r="B91" s="4" t="s">
        <v>186</v>
      </c>
      <c r="C91" s="4" t="s">
        <v>118</v>
      </c>
      <c r="D91" s="4" t="s">
        <v>144</v>
      </c>
      <c r="E91" s="4" t="s">
        <v>70</v>
      </c>
      <c r="F91" s="4" t="s">
        <v>69</v>
      </c>
      <c r="G91" s="4" t="s">
        <v>432</v>
      </c>
    </row>
    <row r="92" customFormat="false" ht="15" hidden="false" customHeight="false" outlineLevel="0" collapsed="false">
      <c r="A92" s="4" t="s">
        <v>185</v>
      </c>
      <c r="B92" s="4" t="s">
        <v>186</v>
      </c>
      <c r="C92" s="4" t="s">
        <v>118</v>
      </c>
      <c r="D92" s="4" t="s">
        <v>144</v>
      </c>
      <c r="E92" s="4" t="s">
        <v>80</v>
      </c>
      <c r="F92" s="4" t="s">
        <v>79</v>
      </c>
      <c r="G92" s="4" t="s">
        <v>432</v>
      </c>
    </row>
    <row r="93" customFormat="false" ht="15" hidden="false" customHeight="false" outlineLevel="0" collapsed="false">
      <c r="A93" s="4" t="s">
        <v>185</v>
      </c>
      <c r="B93" s="4" t="s">
        <v>186</v>
      </c>
      <c r="C93" s="4" t="s">
        <v>118</v>
      </c>
      <c r="D93" s="4" t="s">
        <v>144</v>
      </c>
      <c r="E93" s="4" t="s">
        <v>99</v>
      </c>
      <c r="F93" s="4" t="s">
        <v>98</v>
      </c>
      <c r="G93" s="4" t="s">
        <v>150</v>
      </c>
    </row>
    <row r="94" customFormat="false" ht="15" hidden="false" customHeight="false" outlineLevel="0" collapsed="false">
      <c r="A94" s="4" t="s">
        <v>185</v>
      </c>
      <c r="B94" s="4" t="s">
        <v>186</v>
      </c>
      <c r="C94" s="4" t="s">
        <v>118</v>
      </c>
      <c r="D94" s="4" t="s">
        <v>144</v>
      </c>
      <c r="E94" s="4" t="s">
        <v>102</v>
      </c>
      <c r="F94" s="4" t="s">
        <v>101</v>
      </c>
      <c r="G94" s="4" t="s">
        <v>432</v>
      </c>
    </row>
    <row r="95" customFormat="false" ht="15" hidden="false" customHeight="false" outlineLevel="0" collapsed="false">
      <c r="A95" s="4" t="s">
        <v>185</v>
      </c>
      <c r="B95" s="4" t="s">
        <v>186</v>
      </c>
      <c r="C95" s="4" t="s">
        <v>118</v>
      </c>
      <c r="D95" s="4" t="s">
        <v>144</v>
      </c>
      <c r="E95" s="4" t="s">
        <v>108</v>
      </c>
      <c r="F95" s="4" t="s">
        <v>107</v>
      </c>
      <c r="G95" s="4" t="s">
        <v>432</v>
      </c>
    </row>
    <row r="96" customFormat="false" ht="15" hidden="false" customHeight="false" outlineLevel="0" collapsed="false">
      <c r="A96" s="4" t="s">
        <v>191</v>
      </c>
      <c r="B96" s="4" t="s">
        <v>192</v>
      </c>
      <c r="C96" s="4" t="s">
        <v>119</v>
      </c>
      <c r="D96" s="4" t="s">
        <v>144</v>
      </c>
      <c r="E96" s="4" t="s">
        <v>61</v>
      </c>
      <c r="F96" s="4" t="s">
        <v>57</v>
      </c>
      <c r="G96" s="4" t="s">
        <v>433</v>
      </c>
    </row>
    <row r="97" customFormat="false" ht="15" hidden="false" customHeight="false" outlineLevel="0" collapsed="false">
      <c r="A97" s="4" t="s">
        <v>191</v>
      </c>
      <c r="B97" s="4" t="s">
        <v>192</v>
      </c>
      <c r="C97" s="4" t="s">
        <v>119</v>
      </c>
      <c r="D97" s="4" t="s">
        <v>144</v>
      </c>
      <c r="E97" s="4" t="s">
        <v>68</v>
      </c>
      <c r="F97" s="4" t="s">
        <v>69</v>
      </c>
      <c r="G97" s="4" t="s">
        <v>433</v>
      </c>
    </row>
    <row r="98" customFormat="false" ht="15" hidden="false" customHeight="false" outlineLevel="0" collapsed="false">
      <c r="A98" s="4" t="s">
        <v>191</v>
      </c>
      <c r="B98" s="4" t="s">
        <v>192</v>
      </c>
      <c r="C98" s="4" t="s">
        <v>119</v>
      </c>
      <c r="D98" s="4" t="s">
        <v>144</v>
      </c>
      <c r="E98" s="4" t="s">
        <v>70</v>
      </c>
      <c r="F98" s="4" t="s">
        <v>69</v>
      </c>
      <c r="G98" s="4" t="s">
        <v>432</v>
      </c>
    </row>
    <row r="99" customFormat="false" ht="15" hidden="false" customHeight="false" outlineLevel="0" collapsed="false">
      <c r="A99" s="4" t="s">
        <v>194</v>
      </c>
      <c r="B99" s="4" t="s">
        <v>195</v>
      </c>
      <c r="C99" s="4" t="s">
        <v>119</v>
      </c>
      <c r="D99" s="4" t="s">
        <v>153</v>
      </c>
      <c r="E99" s="4" t="s">
        <v>61</v>
      </c>
      <c r="F99" s="4" t="s">
        <v>57</v>
      </c>
      <c r="G99" s="4" t="s">
        <v>433</v>
      </c>
    </row>
    <row r="100" customFormat="false" ht="15" hidden="false" customHeight="false" outlineLevel="0" collapsed="false">
      <c r="A100" s="4" t="s">
        <v>194</v>
      </c>
      <c r="B100" s="4" t="s">
        <v>195</v>
      </c>
      <c r="C100" s="4" t="s">
        <v>119</v>
      </c>
      <c r="D100" s="4" t="s">
        <v>153</v>
      </c>
      <c r="E100" s="4" t="s">
        <v>68</v>
      </c>
      <c r="F100" s="4" t="s">
        <v>69</v>
      </c>
      <c r="G100" s="4" t="s">
        <v>433</v>
      </c>
    </row>
    <row r="101" customFormat="false" ht="15" hidden="false" customHeight="false" outlineLevel="0" collapsed="false">
      <c r="A101" s="4" t="s">
        <v>194</v>
      </c>
      <c r="B101" s="4" t="s">
        <v>195</v>
      </c>
      <c r="C101" s="4" t="s">
        <v>119</v>
      </c>
      <c r="D101" s="4" t="s">
        <v>153</v>
      </c>
      <c r="E101" s="4" t="s">
        <v>70</v>
      </c>
      <c r="F101" s="4" t="s">
        <v>69</v>
      </c>
      <c r="G101" s="4" t="s">
        <v>432</v>
      </c>
    </row>
    <row r="102" customFormat="false" ht="15" hidden="false" customHeight="false" outlineLevel="0" collapsed="false">
      <c r="A102" s="4" t="s">
        <v>196</v>
      </c>
      <c r="B102" s="4" t="s">
        <v>197</v>
      </c>
      <c r="C102" s="4" t="s">
        <v>119</v>
      </c>
      <c r="D102" s="4" t="s">
        <v>153</v>
      </c>
      <c r="E102" s="4" t="s">
        <v>9</v>
      </c>
      <c r="F102" s="4" t="s">
        <v>10</v>
      </c>
      <c r="G102" s="4" t="s">
        <v>150</v>
      </c>
    </row>
    <row r="103" customFormat="false" ht="15" hidden="false" customHeight="false" outlineLevel="0" collapsed="false">
      <c r="A103" s="4" t="s">
        <v>196</v>
      </c>
      <c r="B103" s="4" t="s">
        <v>197</v>
      </c>
      <c r="C103" s="4" t="s">
        <v>119</v>
      </c>
      <c r="D103" s="4" t="s">
        <v>153</v>
      </c>
      <c r="E103" s="4" t="s">
        <v>41</v>
      </c>
      <c r="F103" s="4" t="s">
        <v>42</v>
      </c>
      <c r="G103" s="4" t="s">
        <v>150</v>
      </c>
    </row>
    <row r="104" customFormat="false" ht="15" hidden="false" customHeight="false" outlineLevel="0" collapsed="false">
      <c r="A104" s="4" t="s">
        <v>196</v>
      </c>
      <c r="B104" s="4" t="s">
        <v>197</v>
      </c>
      <c r="C104" s="4" t="s">
        <v>119</v>
      </c>
      <c r="D104" s="4" t="s">
        <v>153</v>
      </c>
      <c r="E104" s="4" t="s">
        <v>65</v>
      </c>
      <c r="F104" s="4" t="s">
        <v>66</v>
      </c>
      <c r="G104" s="4" t="s">
        <v>432</v>
      </c>
    </row>
    <row r="105" customFormat="false" ht="15" hidden="false" customHeight="false" outlineLevel="0" collapsed="false">
      <c r="A105" s="4" t="s">
        <v>196</v>
      </c>
      <c r="B105" s="4" t="s">
        <v>197</v>
      </c>
      <c r="C105" s="4" t="s">
        <v>119</v>
      </c>
      <c r="D105" s="4" t="s">
        <v>153</v>
      </c>
      <c r="E105" s="4" t="s">
        <v>68</v>
      </c>
      <c r="F105" s="4" t="s">
        <v>69</v>
      </c>
      <c r="G105" s="4" t="s">
        <v>432</v>
      </c>
    </row>
    <row r="106" customFormat="false" ht="15" hidden="false" customHeight="false" outlineLevel="0" collapsed="false">
      <c r="A106" s="4" t="s">
        <v>196</v>
      </c>
      <c r="B106" s="4" t="s">
        <v>197</v>
      </c>
      <c r="C106" s="4" t="s">
        <v>119</v>
      </c>
      <c r="D106" s="4" t="s">
        <v>153</v>
      </c>
      <c r="E106" s="4" t="s">
        <v>94</v>
      </c>
      <c r="F106" s="4" t="s">
        <v>95</v>
      </c>
      <c r="G106" s="4" t="s">
        <v>150</v>
      </c>
    </row>
    <row r="107" customFormat="false" ht="15" hidden="false" customHeight="false" outlineLevel="0" collapsed="false">
      <c r="A107" s="4" t="s">
        <v>199</v>
      </c>
      <c r="B107" s="4" t="s">
        <v>200</v>
      </c>
      <c r="C107" s="4" t="s">
        <v>119</v>
      </c>
      <c r="D107" s="4" t="s">
        <v>144</v>
      </c>
      <c r="E107" s="4" t="s">
        <v>68</v>
      </c>
      <c r="F107" s="4" t="s">
        <v>69</v>
      </c>
      <c r="G107" s="4" t="s">
        <v>150</v>
      </c>
    </row>
    <row r="108" customFormat="false" ht="15" hidden="false" customHeight="false" outlineLevel="0" collapsed="false">
      <c r="A108" s="4" t="s">
        <v>199</v>
      </c>
      <c r="B108" s="4" t="s">
        <v>200</v>
      </c>
      <c r="C108" s="4" t="s">
        <v>119</v>
      </c>
      <c r="D108" s="4" t="s">
        <v>144</v>
      </c>
      <c r="E108" s="4" t="s">
        <v>108</v>
      </c>
      <c r="F108" s="4" t="s">
        <v>107</v>
      </c>
      <c r="G108" s="4" t="s">
        <v>432</v>
      </c>
    </row>
    <row r="109" customFormat="false" ht="15" hidden="false" customHeight="false" outlineLevel="0" collapsed="false">
      <c r="A109" s="4" t="s">
        <v>205</v>
      </c>
      <c r="B109" s="4" t="s">
        <v>206</v>
      </c>
      <c r="C109" s="4" t="s">
        <v>119</v>
      </c>
      <c r="D109" s="4" t="s">
        <v>153</v>
      </c>
      <c r="E109" s="4" t="s">
        <v>9</v>
      </c>
      <c r="F109" s="4" t="s">
        <v>10</v>
      </c>
      <c r="G109" s="4" t="s">
        <v>432</v>
      </c>
    </row>
    <row r="110" customFormat="false" ht="15" hidden="false" customHeight="false" outlineLevel="0" collapsed="false">
      <c r="A110" s="4" t="s">
        <v>205</v>
      </c>
      <c r="B110" s="4" t="s">
        <v>206</v>
      </c>
      <c r="C110" s="4" t="s">
        <v>119</v>
      </c>
      <c r="D110" s="4" t="s">
        <v>153</v>
      </c>
      <c r="E110" s="4" t="s">
        <v>11</v>
      </c>
      <c r="F110" s="4" t="s">
        <v>10</v>
      </c>
      <c r="G110" s="4" t="s">
        <v>432</v>
      </c>
    </row>
    <row r="111" customFormat="false" ht="15" hidden="false" customHeight="false" outlineLevel="0" collapsed="false">
      <c r="A111" s="4" t="s">
        <v>205</v>
      </c>
      <c r="B111" s="4" t="s">
        <v>206</v>
      </c>
      <c r="C111" s="4" t="s">
        <v>119</v>
      </c>
      <c r="D111" s="4" t="s">
        <v>153</v>
      </c>
      <c r="E111" s="4" t="s">
        <v>12</v>
      </c>
      <c r="F111" s="4" t="s">
        <v>10</v>
      </c>
      <c r="G111" s="4" t="s">
        <v>432</v>
      </c>
    </row>
    <row r="112" customFormat="false" ht="15" hidden="false" customHeight="false" outlineLevel="0" collapsed="false">
      <c r="A112" s="4" t="s">
        <v>205</v>
      </c>
      <c r="B112" s="4" t="s">
        <v>206</v>
      </c>
      <c r="C112" s="4" t="s">
        <v>119</v>
      </c>
      <c r="D112" s="4" t="s">
        <v>153</v>
      </c>
      <c r="E112" s="4" t="s">
        <v>17</v>
      </c>
      <c r="F112" s="4" t="s">
        <v>10</v>
      </c>
      <c r="G112" s="4" t="s">
        <v>432</v>
      </c>
    </row>
    <row r="113" customFormat="false" ht="15" hidden="false" customHeight="false" outlineLevel="0" collapsed="false">
      <c r="A113" s="4" t="s">
        <v>205</v>
      </c>
      <c r="B113" s="4" t="s">
        <v>206</v>
      </c>
      <c r="C113" s="4" t="s">
        <v>119</v>
      </c>
      <c r="D113" s="4" t="s">
        <v>153</v>
      </c>
      <c r="E113" s="4" t="s">
        <v>18</v>
      </c>
      <c r="F113" s="4" t="s">
        <v>10</v>
      </c>
      <c r="G113" s="4" t="s">
        <v>432</v>
      </c>
    </row>
    <row r="114" customFormat="false" ht="15" hidden="false" customHeight="false" outlineLevel="0" collapsed="false">
      <c r="A114" s="4" t="s">
        <v>205</v>
      </c>
      <c r="B114" s="4" t="s">
        <v>206</v>
      </c>
      <c r="C114" s="4" t="s">
        <v>119</v>
      </c>
      <c r="D114" s="4" t="s">
        <v>153</v>
      </c>
      <c r="E114" s="4" t="s">
        <v>40</v>
      </c>
      <c r="F114" s="4" t="s">
        <v>36</v>
      </c>
      <c r="G114" s="4" t="s">
        <v>433</v>
      </c>
    </row>
    <row r="115" customFormat="false" ht="15" hidden="false" customHeight="false" outlineLevel="0" collapsed="false">
      <c r="A115" s="4" t="s">
        <v>205</v>
      </c>
      <c r="B115" s="4" t="s">
        <v>206</v>
      </c>
      <c r="C115" s="4" t="s">
        <v>119</v>
      </c>
      <c r="D115" s="4" t="s">
        <v>153</v>
      </c>
      <c r="E115" s="4" t="s">
        <v>41</v>
      </c>
      <c r="F115" s="4" t="s">
        <v>42</v>
      </c>
      <c r="G115" s="4" t="s">
        <v>432</v>
      </c>
    </row>
    <row r="116" customFormat="false" ht="15" hidden="false" customHeight="false" outlineLevel="0" collapsed="false">
      <c r="A116" s="4" t="s">
        <v>205</v>
      </c>
      <c r="B116" s="4" t="s">
        <v>206</v>
      </c>
      <c r="C116" s="4" t="s">
        <v>119</v>
      </c>
      <c r="D116" s="4" t="s">
        <v>153</v>
      </c>
      <c r="E116" s="4" t="s">
        <v>65</v>
      </c>
      <c r="F116" s="4" t="s">
        <v>66</v>
      </c>
      <c r="G116" s="4" t="s">
        <v>432</v>
      </c>
    </row>
    <row r="117" customFormat="false" ht="15" hidden="false" customHeight="false" outlineLevel="0" collapsed="false">
      <c r="A117" s="4" t="s">
        <v>205</v>
      </c>
      <c r="B117" s="4" t="s">
        <v>206</v>
      </c>
      <c r="C117" s="4" t="s">
        <v>119</v>
      </c>
      <c r="D117" s="4" t="s">
        <v>153</v>
      </c>
      <c r="E117" s="4" t="s">
        <v>68</v>
      </c>
      <c r="F117" s="4" t="s">
        <v>69</v>
      </c>
      <c r="G117" s="4" t="s">
        <v>432</v>
      </c>
    </row>
    <row r="118" customFormat="false" ht="15" hidden="false" customHeight="false" outlineLevel="0" collapsed="false">
      <c r="A118" s="4" t="s">
        <v>205</v>
      </c>
      <c r="B118" s="4" t="s">
        <v>206</v>
      </c>
      <c r="C118" s="4" t="s">
        <v>119</v>
      </c>
      <c r="D118" s="4" t="s">
        <v>153</v>
      </c>
      <c r="E118" s="4" t="s">
        <v>88</v>
      </c>
      <c r="F118" s="4" t="s">
        <v>79</v>
      </c>
      <c r="G118" s="4" t="s">
        <v>433</v>
      </c>
    </row>
    <row r="119" customFormat="false" ht="15" hidden="false" customHeight="false" outlineLevel="0" collapsed="false">
      <c r="A119" s="4" t="s">
        <v>209</v>
      </c>
      <c r="B119" s="4" t="s">
        <v>210</v>
      </c>
      <c r="C119" s="4" t="s">
        <v>120</v>
      </c>
      <c r="D119" s="4" t="s">
        <v>144</v>
      </c>
      <c r="E119" s="4" t="s">
        <v>9</v>
      </c>
      <c r="F119" s="4" t="s">
        <v>10</v>
      </c>
      <c r="G119" s="4" t="s">
        <v>150</v>
      </c>
    </row>
    <row r="120" customFormat="false" ht="15" hidden="false" customHeight="false" outlineLevel="0" collapsed="false">
      <c r="A120" s="4" t="s">
        <v>209</v>
      </c>
      <c r="B120" s="4" t="s">
        <v>210</v>
      </c>
      <c r="C120" s="4" t="s">
        <v>120</v>
      </c>
      <c r="D120" s="4" t="s">
        <v>144</v>
      </c>
      <c r="E120" s="4" t="s">
        <v>11</v>
      </c>
      <c r="F120" s="4" t="s">
        <v>10</v>
      </c>
      <c r="G120" s="4" t="s">
        <v>432</v>
      </c>
    </row>
    <row r="121" customFormat="false" ht="15" hidden="false" customHeight="false" outlineLevel="0" collapsed="false">
      <c r="A121" s="4" t="s">
        <v>209</v>
      </c>
      <c r="B121" s="4" t="s">
        <v>210</v>
      </c>
      <c r="C121" s="4" t="s">
        <v>120</v>
      </c>
      <c r="D121" s="4" t="s">
        <v>144</v>
      </c>
      <c r="E121" s="4" t="s">
        <v>12</v>
      </c>
      <c r="F121" s="4" t="s">
        <v>10</v>
      </c>
      <c r="G121" s="4" t="s">
        <v>432</v>
      </c>
    </row>
    <row r="122" customFormat="false" ht="15" hidden="false" customHeight="false" outlineLevel="0" collapsed="false">
      <c r="A122" s="4" t="s">
        <v>209</v>
      </c>
      <c r="B122" s="4" t="s">
        <v>210</v>
      </c>
      <c r="C122" s="4" t="s">
        <v>120</v>
      </c>
      <c r="D122" s="4" t="s">
        <v>144</v>
      </c>
      <c r="E122" s="4" t="s">
        <v>17</v>
      </c>
      <c r="F122" s="4" t="s">
        <v>10</v>
      </c>
      <c r="G122" s="4" t="s">
        <v>432</v>
      </c>
    </row>
    <row r="123" customFormat="false" ht="15" hidden="false" customHeight="false" outlineLevel="0" collapsed="false">
      <c r="A123" s="4" t="s">
        <v>209</v>
      </c>
      <c r="B123" s="4" t="s">
        <v>210</v>
      </c>
      <c r="C123" s="4" t="s">
        <v>120</v>
      </c>
      <c r="D123" s="4" t="s">
        <v>144</v>
      </c>
      <c r="E123" s="4" t="s">
        <v>35</v>
      </c>
      <c r="F123" s="4" t="s">
        <v>36</v>
      </c>
      <c r="G123" s="4" t="s">
        <v>432</v>
      </c>
    </row>
    <row r="124" customFormat="false" ht="15" hidden="false" customHeight="false" outlineLevel="0" collapsed="false">
      <c r="A124" s="4" t="s">
        <v>209</v>
      </c>
      <c r="B124" s="4" t="s">
        <v>210</v>
      </c>
      <c r="C124" s="4" t="s">
        <v>120</v>
      </c>
      <c r="D124" s="4" t="s">
        <v>144</v>
      </c>
      <c r="E124" s="4" t="s">
        <v>40</v>
      </c>
      <c r="F124" s="4" t="s">
        <v>36</v>
      </c>
      <c r="G124" s="4" t="s">
        <v>433</v>
      </c>
    </row>
    <row r="125" customFormat="false" ht="15" hidden="false" customHeight="false" outlineLevel="0" collapsed="false">
      <c r="A125" s="4" t="s">
        <v>209</v>
      </c>
      <c r="B125" s="4" t="s">
        <v>210</v>
      </c>
      <c r="C125" s="4" t="s">
        <v>120</v>
      </c>
      <c r="D125" s="4" t="s">
        <v>144</v>
      </c>
      <c r="E125" s="4" t="s">
        <v>41</v>
      </c>
      <c r="F125" s="4" t="s">
        <v>42</v>
      </c>
      <c r="G125" s="4" t="s">
        <v>150</v>
      </c>
    </row>
    <row r="126" customFormat="false" ht="15" hidden="false" customHeight="false" outlineLevel="0" collapsed="false">
      <c r="A126" s="4" t="s">
        <v>209</v>
      </c>
      <c r="B126" s="4" t="s">
        <v>210</v>
      </c>
      <c r="C126" s="4" t="s">
        <v>120</v>
      </c>
      <c r="D126" s="4" t="s">
        <v>144</v>
      </c>
      <c r="E126" s="4" t="s">
        <v>54</v>
      </c>
      <c r="F126" s="4" t="s">
        <v>55</v>
      </c>
      <c r="G126" s="4" t="s">
        <v>432</v>
      </c>
    </row>
    <row r="127" customFormat="false" ht="15" hidden="false" customHeight="false" outlineLevel="0" collapsed="false">
      <c r="A127" s="4" t="s">
        <v>209</v>
      </c>
      <c r="B127" s="4" t="s">
        <v>210</v>
      </c>
      <c r="C127" s="4" t="s">
        <v>120</v>
      </c>
      <c r="D127" s="4" t="s">
        <v>144</v>
      </c>
      <c r="E127" s="4" t="s">
        <v>65</v>
      </c>
      <c r="F127" s="4" t="s">
        <v>66</v>
      </c>
      <c r="G127" s="4" t="s">
        <v>432</v>
      </c>
    </row>
    <row r="128" customFormat="false" ht="15" hidden="false" customHeight="false" outlineLevel="0" collapsed="false">
      <c r="A128" s="4" t="s">
        <v>209</v>
      </c>
      <c r="B128" s="4" t="s">
        <v>210</v>
      </c>
      <c r="C128" s="4" t="s">
        <v>120</v>
      </c>
      <c r="D128" s="4" t="s">
        <v>144</v>
      </c>
      <c r="E128" s="4" t="s">
        <v>68</v>
      </c>
      <c r="F128" s="4" t="s">
        <v>69</v>
      </c>
      <c r="G128" s="4" t="s">
        <v>432</v>
      </c>
    </row>
    <row r="129" customFormat="false" ht="15" hidden="false" customHeight="false" outlineLevel="0" collapsed="false">
      <c r="A129" s="4" t="s">
        <v>209</v>
      </c>
      <c r="B129" s="4" t="s">
        <v>210</v>
      </c>
      <c r="C129" s="4" t="s">
        <v>120</v>
      </c>
      <c r="D129" s="4" t="s">
        <v>144</v>
      </c>
      <c r="E129" s="4" t="s">
        <v>73</v>
      </c>
      <c r="F129" s="4" t="s">
        <v>74</v>
      </c>
      <c r="G129" s="4" t="s">
        <v>432</v>
      </c>
    </row>
    <row r="130" customFormat="false" ht="15" hidden="false" customHeight="false" outlineLevel="0" collapsed="false">
      <c r="A130" s="4" t="s">
        <v>209</v>
      </c>
      <c r="B130" s="4" t="s">
        <v>210</v>
      </c>
      <c r="C130" s="4" t="s">
        <v>120</v>
      </c>
      <c r="D130" s="4" t="s">
        <v>144</v>
      </c>
      <c r="E130" s="4" t="s">
        <v>82</v>
      </c>
      <c r="F130" s="4" t="s">
        <v>79</v>
      </c>
      <c r="G130" s="4" t="s">
        <v>150</v>
      </c>
    </row>
    <row r="131" customFormat="false" ht="15" hidden="false" customHeight="false" outlineLevel="0" collapsed="false">
      <c r="A131" s="4" t="s">
        <v>212</v>
      </c>
      <c r="B131" s="4" t="s">
        <v>213</v>
      </c>
      <c r="C131" s="4" t="s">
        <v>120</v>
      </c>
      <c r="D131" s="4" t="s">
        <v>153</v>
      </c>
      <c r="E131" s="4" t="s">
        <v>9</v>
      </c>
      <c r="F131" s="4" t="s">
        <v>10</v>
      </c>
      <c r="G131" s="4" t="s">
        <v>150</v>
      </c>
    </row>
    <row r="132" customFormat="false" ht="15" hidden="false" customHeight="false" outlineLevel="0" collapsed="false">
      <c r="A132" s="4" t="s">
        <v>212</v>
      </c>
      <c r="B132" s="4" t="s">
        <v>213</v>
      </c>
      <c r="C132" s="4" t="s">
        <v>120</v>
      </c>
      <c r="D132" s="4" t="s">
        <v>153</v>
      </c>
      <c r="E132" s="4" t="s">
        <v>11</v>
      </c>
      <c r="F132" s="4" t="s">
        <v>10</v>
      </c>
      <c r="G132" s="4" t="s">
        <v>150</v>
      </c>
    </row>
    <row r="133" customFormat="false" ht="15" hidden="false" customHeight="false" outlineLevel="0" collapsed="false">
      <c r="A133" s="4" t="s">
        <v>212</v>
      </c>
      <c r="B133" s="4" t="s">
        <v>213</v>
      </c>
      <c r="C133" s="4" t="s">
        <v>120</v>
      </c>
      <c r="D133" s="4" t="s">
        <v>153</v>
      </c>
      <c r="E133" s="4" t="s">
        <v>12</v>
      </c>
      <c r="F133" s="4" t="s">
        <v>10</v>
      </c>
      <c r="G133" s="4" t="s">
        <v>150</v>
      </c>
    </row>
    <row r="134" customFormat="false" ht="15" hidden="false" customHeight="false" outlineLevel="0" collapsed="false">
      <c r="A134" s="4" t="s">
        <v>212</v>
      </c>
      <c r="B134" s="4" t="s">
        <v>213</v>
      </c>
      <c r="C134" s="4" t="s">
        <v>120</v>
      </c>
      <c r="D134" s="4" t="s">
        <v>153</v>
      </c>
      <c r="E134" s="4" t="s">
        <v>14</v>
      </c>
      <c r="F134" s="4" t="s">
        <v>10</v>
      </c>
      <c r="G134" s="4" t="s">
        <v>150</v>
      </c>
    </row>
    <row r="135" customFormat="false" ht="15" hidden="false" customHeight="false" outlineLevel="0" collapsed="false">
      <c r="A135" s="4" t="s">
        <v>212</v>
      </c>
      <c r="B135" s="4" t="s">
        <v>213</v>
      </c>
      <c r="C135" s="4" t="s">
        <v>120</v>
      </c>
      <c r="D135" s="4" t="s">
        <v>153</v>
      </c>
      <c r="E135" s="4" t="s">
        <v>16</v>
      </c>
      <c r="F135" s="4" t="s">
        <v>10</v>
      </c>
      <c r="G135" s="4" t="s">
        <v>150</v>
      </c>
    </row>
    <row r="136" customFormat="false" ht="15" hidden="false" customHeight="false" outlineLevel="0" collapsed="false">
      <c r="A136" s="4" t="s">
        <v>212</v>
      </c>
      <c r="B136" s="4" t="s">
        <v>213</v>
      </c>
      <c r="C136" s="4" t="s">
        <v>120</v>
      </c>
      <c r="D136" s="4" t="s">
        <v>153</v>
      </c>
      <c r="E136" s="4" t="s">
        <v>17</v>
      </c>
      <c r="F136" s="4" t="s">
        <v>10</v>
      </c>
      <c r="G136" s="4" t="s">
        <v>432</v>
      </c>
    </row>
    <row r="137" customFormat="false" ht="15" hidden="false" customHeight="false" outlineLevel="0" collapsed="false">
      <c r="A137" s="4" t="s">
        <v>212</v>
      </c>
      <c r="B137" s="4" t="s">
        <v>213</v>
      </c>
      <c r="C137" s="4" t="s">
        <v>120</v>
      </c>
      <c r="D137" s="4" t="s">
        <v>153</v>
      </c>
      <c r="E137" s="4" t="s">
        <v>18</v>
      </c>
      <c r="F137" s="4" t="s">
        <v>10</v>
      </c>
      <c r="G137" s="4" t="s">
        <v>150</v>
      </c>
    </row>
    <row r="138" customFormat="false" ht="15" hidden="false" customHeight="false" outlineLevel="0" collapsed="false">
      <c r="A138" s="4" t="s">
        <v>212</v>
      </c>
      <c r="B138" s="4" t="s">
        <v>213</v>
      </c>
      <c r="C138" s="4" t="s">
        <v>120</v>
      </c>
      <c r="D138" s="4" t="s">
        <v>153</v>
      </c>
      <c r="E138" s="4" t="s">
        <v>19</v>
      </c>
      <c r="F138" s="4" t="s">
        <v>20</v>
      </c>
      <c r="G138" s="4" t="s">
        <v>150</v>
      </c>
    </row>
    <row r="139" customFormat="false" ht="15" hidden="false" customHeight="false" outlineLevel="0" collapsed="false">
      <c r="A139" s="4" t="s">
        <v>212</v>
      </c>
      <c r="B139" s="4" t="s">
        <v>213</v>
      </c>
      <c r="C139" s="4" t="s">
        <v>120</v>
      </c>
      <c r="D139" s="4" t="s">
        <v>153</v>
      </c>
      <c r="E139" s="4" t="s">
        <v>26</v>
      </c>
      <c r="F139" s="4" t="s">
        <v>25</v>
      </c>
      <c r="G139" s="4" t="s">
        <v>150</v>
      </c>
    </row>
    <row r="140" customFormat="false" ht="15" hidden="false" customHeight="false" outlineLevel="0" collapsed="false">
      <c r="A140" s="4" t="s">
        <v>212</v>
      </c>
      <c r="B140" s="4" t="s">
        <v>213</v>
      </c>
      <c r="C140" s="4" t="s">
        <v>120</v>
      </c>
      <c r="D140" s="4" t="s">
        <v>153</v>
      </c>
      <c r="E140" s="4" t="s">
        <v>40</v>
      </c>
      <c r="F140" s="4" t="s">
        <v>36</v>
      </c>
      <c r="G140" s="4" t="s">
        <v>150</v>
      </c>
    </row>
    <row r="141" customFormat="false" ht="15" hidden="false" customHeight="false" outlineLevel="0" collapsed="false">
      <c r="A141" s="4" t="s">
        <v>212</v>
      </c>
      <c r="B141" s="4" t="s">
        <v>213</v>
      </c>
      <c r="C141" s="4" t="s">
        <v>120</v>
      </c>
      <c r="D141" s="4" t="s">
        <v>153</v>
      </c>
      <c r="E141" s="4" t="s">
        <v>46</v>
      </c>
      <c r="F141" s="4" t="s">
        <v>44</v>
      </c>
      <c r="G141" s="4" t="s">
        <v>150</v>
      </c>
    </row>
    <row r="142" customFormat="false" ht="15" hidden="false" customHeight="false" outlineLevel="0" collapsed="false">
      <c r="A142" s="4" t="s">
        <v>212</v>
      </c>
      <c r="B142" s="4" t="s">
        <v>213</v>
      </c>
      <c r="C142" s="4" t="s">
        <v>120</v>
      </c>
      <c r="D142" s="4" t="s">
        <v>153</v>
      </c>
      <c r="E142" s="4" t="s">
        <v>67</v>
      </c>
      <c r="F142" s="4" t="s">
        <v>66</v>
      </c>
      <c r="G142" s="4" t="s">
        <v>432</v>
      </c>
    </row>
    <row r="143" customFormat="false" ht="15" hidden="false" customHeight="false" outlineLevel="0" collapsed="false">
      <c r="A143" s="4" t="s">
        <v>212</v>
      </c>
      <c r="B143" s="4" t="s">
        <v>213</v>
      </c>
      <c r="C143" s="4" t="s">
        <v>120</v>
      </c>
      <c r="D143" s="4" t="s">
        <v>153</v>
      </c>
      <c r="E143" s="4" t="s">
        <v>68</v>
      </c>
      <c r="F143" s="4" t="s">
        <v>69</v>
      </c>
      <c r="G143" s="4" t="s">
        <v>150</v>
      </c>
    </row>
    <row r="144" customFormat="false" ht="15" hidden="false" customHeight="false" outlineLevel="0" collapsed="false">
      <c r="A144" s="4" t="s">
        <v>212</v>
      </c>
      <c r="B144" s="4" t="s">
        <v>213</v>
      </c>
      <c r="C144" s="4" t="s">
        <v>120</v>
      </c>
      <c r="D144" s="4" t="s">
        <v>153</v>
      </c>
      <c r="E144" s="4" t="s">
        <v>70</v>
      </c>
      <c r="F144" s="4" t="s">
        <v>69</v>
      </c>
      <c r="G144" s="4" t="s">
        <v>150</v>
      </c>
    </row>
    <row r="145" customFormat="false" ht="15" hidden="false" customHeight="false" outlineLevel="0" collapsed="false">
      <c r="A145" s="4" t="s">
        <v>212</v>
      </c>
      <c r="B145" s="4" t="s">
        <v>213</v>
      </c>
      <c r="C145" s="4" t="s">
        <v>120</v>
      </c>
      <c r="D145" s="4" t="s">
        <v>153</v>
      </c>
      <c r="E145" s="4" t="s">
        <v>75</v>
      </c>
      <c r="F145" s="4" t="s">
        <v>74</v>
      </c>
      <c r="G145" s="4" t="s">
        <v>150</v>
      </c>
    </row>
    <row r="146" customFormat="false" ht="15" hidden="false" customHeight="false" outlineLevel="0" collapsed="false">
      <c r="A146" s="4" t="s">
        <v>212</v>
      </c>
      <c r="B146" s="4" t="s">
        <v>213</v>
      </c>
      <c r="C146" s="4" t="s">
        <v>120</v>
      </c>
      <c r="D146" s="4" t="s">
        <v>153</v>
      </c>
      <c r="E146" s="4" t="s">
        <v>99</v>
      </c>
      <c r="F146" s="4" t="s">
        <v>98</v>
      </c>
      <c r="G146" s="4" t="s">
        <v>150</v>
      </c>
    </row>
    <row r="147" customFormat="false" ht="15" hidden="false" customHeight="false" outlineLevel="0" collapsed="false">
      <c r="A147" s="4" t="s">
        <v>212</v>
      </c>
      <c r="B147" s="4" t="s">
        <v>213</v>
      </c>
      <c r="C147" s="4" t="s">
        <v>120</v>
      </c>
      <c r="D147" s="4" t="s">
        <v>153</v>
      </c>
      <c r="E147" s="4" t="s">
        <v>108</v>
      </c>
      <c r="F147" s="4" t="s">
        <v>107</v>
      </c>
      <c r="G147" s="4" t="s">
        <v>432</v>
      </c>
    </row>
    <row r="148" customFormat="false" ht="15" hidden="false" customHeight="false" outlineLevel="0" collapsed="false">
      <c r="A148" s="4" t="s">
        <v>214</v>
      </c>
      <c r="B148" s="4" t="s">
        <v>215</v>
      </c>
      <c r="C148" s="4" t="s">
        <v>120</v>
      </c>
      <c r="D148" s="4" t="s">
        <v>153</v>
      </c>
      <c r="E148" s="4" t="s">
        <v>11</v>
      </c>
      <c r="F148" s="4" t="s">
        <v>10</v>
      </c>
      <c r="G148" s="4" t="s">
        <v>432</v>
      </c>
    </row>
    <row r="149" customFormat="false" ht="15" hidden="false" customHeight="false" outlineLevel="0" collapsed="false">
      <c r="A149" s="4" t="s">
        <v>214</v>
      </c>
      <c r="B149" s="4" t="s">
        <v>215</v>
      </c>
      <c r="C149" s="4" t="s">
        <v>120</v>
      </c>
      <c r="D149" s="4" t="s">
        <v>153</v>
      </c>
      <c r="E149" s="4" t="s">
        <v>27</v>
      </c>
      <c r="F149" s="4" t="s">
        <v>28</v>
      </c>
      <c r="G149" s="4" t="s">
        <v>150</v>
      </c>
    </row>
    <row r="150" customFormat="false" ht="15" hidden="false" customHeight="false" outlineLevel="0" collapsed="false">
      <c r="A150" s="4" t="s">
        <v>214</v>
      </c>
      <c r="B150" s="4" t="s">
        <v>215</v>
      </c>
      <c r="C150" s="4" t="s">
        <v>120</v>
      </c>
      <c r="D150" s="4" t="s">
        <v>153</v>
      </c>
      <c r="E150" s="4" t="s">
        <v>68</v>
      </c>
      <c r="F150" s="4" t="s">
        <v>69</v>
      </c>
      <c r="G150" s="4" t="s">
        <v>150</v>
      </c>
    </row>
    <row r="151" customFormat="false" ht="15" hidden="false" customHeight="false" outlineLevel="0" collapsed="false">
      <c r="A151" s="4" t="s">
        <v>216</v>
      </c>
      <c r="B151" s="4" t="s">
        <v>217</v>
      </c>
      <c r="C151" s="4" t="s">
        <v>119</v>
      </c>
      <c r="D151" s="4" t="s">
        <v>153</v>
      </c>
      <c r="E151" s="4" t="s">
        <v>12</v>
      </c>
      <c r="F151" s="4" t="s">
        <v>10</v>
      </c>
      <c r="G151" s="4" t="s">
        <v>433</v>
      </c>
    </row>
    <row r="152" customFormat="false" ht="15" hidden="false" customHeight="false" outlineLevel="0" collapsed="false">
      <c r="A152" s="4" t="s">
        <v>216</v>
      </c>
      <c r="B152" s="4" t="s">
        <v>217</v>
      </c>
      <c r="C152" s="4" t="s">
        <v>119</v>
      </c>
      <c r="D152" s="4" t="s">
        <v>153</v>
      </c>
      <c r="E152" s="4" t="s">
        <v>62</v>
      </c>
      <c r="F152" s="4" t="s">
        <v>63</v>
      </c>
      <c r="G152" s="4" t="s">
        <v>150</v>
      </c>
    </row>
    <row r="153" customFormat="false" ht="15" hidden="false" customHeight="false" outlineLevel="0" collapsed="false">
      <c r="A153" s="4" t="s">
        <v>216</v>
      </c>
      <c r="B153" s="4" t="s">
        <v>217</v>
      </c>
      <c r="C153" s="4" t="s">
        <v>119</v>
      </c>
      <c r="D153" s="4" t="s">
        <v>153</v>
      </c>
      <c r="E153" s="4" t="s">
        <v>65</v>
      </c>
      <c r="F153" s="4" t="s">
        <v>66</v>
      </c>
      <c r="G153" s="4" t="s">
        <v>432</v>
      </c>
    </row>
    <row r="154" customFormat="false" ht="15" hidden="false" customHeight="false" outlineLevel="0" collapsed="false">
      <c r="A154" s="4" t="s">
        <v>216</v>
      </c>
      <c r="B154" s="4" t="s">
        <v>217</v>
      </c>
      <c r="C154" s="4" t="s">
        <v>119</v>
      </c>
      <c r="D154" s="4" t="s">
        <v>153</v>
      </c>
      <c r="E154" s="4" t="s">
        <v>68</v>
      </c>
      <c r="F154" s="4" t="s">
        <v>69</v>
      </c>
      <c r="G154" s="4" t="s">
        <v>432</v>
      </c>
    </row>
    <row r="155" customFormat="false" ht="15" hidden="false" customHeight="false" outlineLevel="0" collapsed="false">
      <c r="A155" s="4" t="s">
        <v>216</v>
      </c>
      <c r="B155" s="4" t="s">
        <v>217</v>
      </c>
      <c r="C155" s="4" t="s">
        <v>119</v>
      </c>
      <c r="D155" s="4" t="s">
        <v>153</v>
      </c>
      <c r="E155" s="4" t="s">
        <v>71</v>
      </c>
      <c r="F155" s="4" t="s">
        <v>72</v>
      </c>
      <c r="G155" s="4" t="s">
        <v>432</v>
      </c>
    </row>
    <row r="156" customFormat="false" ht="15" hidden="false" customHeight="false" outlineLevel="0" collapsed="false">
      <c r="A156" s="4" t="s">
        <v>216</v>
      </c>
      <c r="B156" s="4" t="s">
        <v>217</v>
      </c>
      <c r="C156" s="4" t="s">
        <v>119</v>
      </c>
      <c r="D156" s="4" t="s">
        <v>153</v>
      </c>
      <c r="E156" s="4" t="s">
        <v>92</v>
      </c>
      <c r="F156" s="4" t="s">
        <v>93</v>
      </c>
      <c r="G156" s="4" t="s">
        <v>150</v>
      </c>
    </row>
    <row r="157" customFormat="false" ht="15" hidden="false" customHeight="false" outlineLevel="0" collapsed="false">
      <c r="A157" s="4" t="s">
        <v>216</v>
      </c>
      <c r="B157" s="4" t="s">
        <v>217</v>
      </c>
      <c r="C157" s="4" t="s">
        <v>119</v>
      </c>
      <c r="D157" s="4" t="s">
        <v>153</v>
      </c>
      <c r="E157" s="4" t="s">
        <v>108</v>
      </c>
      <c r="F157" s="4" t="s">
        <v>107</v>
      </c>
      <c r="G157" s="4" t="s">
        <v>432</v>
      </c>
    </row>
    <row r="158" customFormat="false" ht="15" hidden="false" customHeight="false" outlineLevel="0" collapsed="false">
      <c r="A158" s="4" t="s">
        <v>220</v>
      </c>
      <c r="B158" s="4" t="s">
        <v>221</v>
      </c>
      <c r="C158" s="4" t="s">
        <v>120</v>
      </c>
      <c r="D158" s="4" t="s">
        <v>144</v>
      </c>
      <c r="E158" s="4" t="s">
        <v>65</v>
      </c>
      <c r="F158" s="4" t="s">
        <v>66</v>
      </c>
      <c r="G158" s="4" t="s">
        <v>432</v>
      </c>
    </row>
    <row r="159" customFormat="false" ht="15" hidden="false" customHeight="false" outlineLevel="0" collapsed="false">
      <c r="A159" s="4" t="s">
        <v>220</v>
      </c>
      <c r="B159" s="4" t="s">
        <v>221</v>
      </c>
      <c r="C159" s="4" t="s">
        <v>120</v>
      </c>
      <c r="D159" s="4" t="s">
        <v>144</v>
      </c>
      <c r="E159" s="4" t="s">
        <v>68</v>
      </c>
      <c r="F159" s="4" t="s">
        <v>69</v>
      </c>
      <c r="G159" s="4" t="s">
        <v>432</v>
      </c>
    </row>
    <row r="160" customFormat="false" ht="15" hidden="false" customHeight="false" outlineLevel="0" collapsed="false">
      <c r="A160" s="4" t="s">
        <v>223</v>
      </c>
      <c r="B160" s="4" t="s">
        <v>224</v>
      </c>
      <c r="C160" s="4" t="s">
        <v>120</v>
      </c>
      <c r="D160" s="4" t="s">
        <v>153</v>
      </c>
      <c r="E160" s="4" t="s">
        <v>9</v>
      </c>
      <c r="F160" s="4" t="s">
        <v>10</v>
      </c>
      <c r="G160" s="4" t="s">
        <v>432</v>
      </c>
    </row>
    <row r="161" customFormat="false" ht="15" hidden="false" customHeight="false" outlineLevel="0" collapsed="false">
      <c r="A161" s="4" t="s">
        <v>223</v>
      </c>
      <c r="B161" s="4" t="s">
        <v>224</v>
      </c>
      <c r="C161" s="4" t="s">
        <v>120</v>
      </c>
      <c r="D161" s="4" t="s">
        <v>153</v>
      </c>
      <c r="E161" s="4" t="s">
        <v>11</v>
      </c>
      <c r="F161" s="4" t="s">
        <v>10</v>
      </c>
      <c r="G161" s="4" t="s">
        <v>432</v>
      </c>
    </row>
    <row r="162" customFormat="false" ht="15" hidden="false" customHeight="false" outlineLevel="0" collapsed="false">
      <c r="A162" s="4" t="s">
        <v>223</v>
      </c>
      <c r="B162" s="4" t="s">
        <v>224</v>
      </c>
      <c r="C162" s="4" t="s">
        <v>120</v>
      </c>
      <c r="D162" s="4" t="s">
        <v>153</v>
      </c>
      <c r="E162" s="4" t="s">
        <v>12</v>
      </c>
      <c r="F162" s="4" t="s">
        <v>10</v>
      </c>
      <c r="G162" s="4" t="s">
        <v>432</v>
      </c>
    </row>
    <row r="163" customFormat="false" ht="15" hidden="false" customHeight="false" outlineLevel="0" collapsed="false">
      <c r="A163" s="4" t="s">
        <v>223</v>
      </c>
      <c r="B163" s="4" t="s">
        <v>224</v>
      </c>
      <c r="C163" s="4" t="s">
        <v>120</v>
      </c>
      <c r="D163" s="4" t="s">
        <v>153</v>
      </c>
      <c r="E163" s="4" t="s">
        <v>16</v>
      </c>
      <c r="F163" s="4" t="s">
        <v>10</v>
      </c>
      <c r="G163" s="4" t="s">
        <v>150</v>
      </c>
    </row>
    <row r="164" customFormat="false" ht="15" hidden="false" customHeight="false" outlineLevel="0" collapsed="false">
      <c r="A164" s="4" t="s">
        <v>223</v>
      </c>
      <c r="B164" s="4" t="s">
        <v>224</v>
      </c>
      <c r="C164" s="4" t="s">
        <v>120</v>
      </c>
      <c r="D164" s="4" t="s">
        <v>153</v>
      </c>
      <c r="E164" s="4" t="s">
        <v>41</v>
      </c>
      <c r="F164" s="4" t="s">
        <v>42</v>
      </c>
      <c r="G164" s="4" t="s">
        <v>150</v>
      </c>
    </row>
    <row r="165" customFormat="false" ht="15" hidden="false" customHeight="false" outlineLevel="0" collapsed="false">
      <c r="A165" s="4" t="s">
        <v>223</v>
      </c>
      <c r="B165" s="4" t="s">
        <v>224</v>
      </c>
      <c r="C165" s="4" t="s">
        <v>120</v>
      </c>
      <c r="D165" s="4" t="s">
        <v>153</v>
      </c>
      <c r="E165" s="4" t="s">
        <v>65</v>
      </c>
      <c r="F165" s="4" t="s">
        <v>66</v>
      </c>
      <c r="G165" s="4" t="s">
        <v>432</v>
      </c>
    </row>
    <row r="166" customFormat="false" ht="15" hidden="false" customHeight="false" outlineLevel="0" collapsed="false">
      <c r="A166" s="4" t="s">
        <v>223</v>
      </c>
      <c r="B166" s="4" t="s">
        <v>224</v>
      </c>
      <c r="C166" s="4" t="s">
        <v>120</v>
      </c>
      <c r="D166" s="4" t="s">
        <v>153</v>
      </c>
      <c r="E166" s="4" t="s">
        <v>68</v>
      </c>
      <c r="F166" s="4" t="s">
        <v>69</v>
      </c>
      <c r="G166" s="4" t="s">
        <v>432</v>
      </c>
    </row>
    <row r="167" customFormat="false" ht="15" hidden="false" customHeight="false" outlineLevel="0" collapsed="false">
      <c r="A167" s="4" t="s">
        <v>223</v>
      </c>
      <c r="B167" s="4" t="s">
        <v>224</v>
      </c>
      <c r="C167" s="4" t="s">
        <v>120</v>
      </c>
      <c r="D167" s="4" t="s">
        <v>153</v>
      </c>
      <c r="E167" s="4" t="s">
        <v>75</v>
      </c>
      <c r="F167" s="4" t="s">
        <v>74</v>
      </c>
      <c r="G167" s="4" t="s">
        <v>432</v>
      </c>
    </row>
    <row r="168" customFormat="false" ht="15" hidden="false" customHeight="false" outlineLevel="0" collapsed="false">
      <c r="A168" s="4" t="s">
        <v>226</v>
      </c>
      <c r="B168" s="4" t="s">
        <v>227</v>
      </c>
      <c r="C168" s="4" t="s">
        <v>120</v>
      </c>
      <c r="D168" s="4" t="s">
        <v>153</v>
      </c>
      <c r="E168" s="4" t="s">
        <v>68</v>
      </c>
      <c r="F168" s="4" t="s">
        <v>69</v>
      </c>
      <c r="G168" s="4" t="s">
        <v>150</v>
      </c>
    </row>
    <row r="169" customFormat="false" ht="15" hidden="false" customHeight="false" outlineLevel="0" collapsed="false">
      <c r="A169" s="4" t="s">
        <v>228</v>
      </c>
      <c r="B169" s="4" t="s">
        <v>229</v>
      </c>
      <c r="C169" s="4" t="s">
        <v>120</v>
      </c>
      <c r="D169" s="4" t="s">
        <v>153</v>
      </c>
      <c r="E169" s="4" t="s">
        <v>9</v>
      </c>
      <c r="F169" s="4" t="s">
        <v>10</v>
      </c>
      <c r="G169" s="4" t="s">
        <v>432</v>
      </c>
    </row>
    <row r="170" customFormat="false" ht="15" hidden="false" customHeight="false" outlineLevel="0" collapsed="false">
      <c r="A170" s="4" t="s">
        <v>228</v>
      </c>
      <c r="B170" s="4" t="s">
        <v>229</v>
      </c>
      <c r="C170" s="4" t="s">
        <v>120</v>
      </c>
      <c r="D170" s="4" t="s">
        <v>153</v>
      </c>
      <c r="E170" s="4" t="s">
        <v>11</v>
      </c>
      <c r="F170" s="4" t="s">
        <v>10</v>
      </c>
      <c r="G170" s="4" t="s">
        <v>150</v>
      </c>
    </row>
    <row r="171" customFormat="false" ht="15" hidden="false" customHeight="false" outlineLevel="0" collapsed="false">
      <c r="A171" s="4" t="s">
        <v>228</v>
      </c>
      <c r="B171" s="4" t="s">
        <v>229</v>
      </c>
      <c r="C171" s="4" t="s">
        <v>120</v>
      </c>
      <c r="D171" s="4" t="s">
        <v>153</v>
      </c>
      <c r="E171" s="4" t="s">
        <v>16</v>
      </c>
      <c r="F171" s="4" t="s">
        <v>10</v>
      </c>
      <c r="G171" s="4" t="s">
        <v>433</v>
      </c>
    </row>
    <row r="172" customFormat="false" ht="15" hidden="false" customHeight="false" outlineLevel="0" collapsed="false">
      <c r="A172" s="4" t="s">
        <v>228</v>
      </c>
      <c r="B172" s="4" t="s">
        <v>229</v>
      </c>
      <c r="C172" s="4" t="s">
        <v>120</v>
      </c>
      <c r="D172" s="4" t="s">
        <v>153</v>
      </c>
      <c r="E172" s="4" t="s">
        <v>18</v>
      </c>
      <c r="F172" s="4" t="s">
        <v>10</v>
      </c>
      <c r="G172" s="4" t="s">
        <v>150</v>
      </c>
    </row>
    <row r="173" customFormat="false" ht="15" hidden="false" customHeight="false" outlineLevel="0" collapsed="false">
      <c r="A173" s="4" t="s">
        <v>228</v>
      </c>
      <c r="B173" s="4" t="s">
        <v>229</v>
      </c>
      <c r="C173" s="4" t="s">
        <v>120</v>
      </c>
      <c r="D173" s="4" t="s">
        <v>153</v>
      </c>
      <c r="E173" s="4" t="s">
        <v>19</v>
      </c>
      <c r="F173" s="4" t="s">
        <v>20</v>
      </c>
      <c r="G173" s="4" t="s">
        <v>150</v>
      </c>
    </row>
    <row r="174" customFormat="false" ht="15" hidden="false" customHeight="false" outlineLevel="0" collapsed="false">
      <c r="A174" s="4" t="s">
        <v>228</v>
      </c>
      <c r="B174" s="4" t="s">
        <v>229</v>
      </c>
      <c r="C174" s="4" t="s">
        <v>120</v>
      </c>
      <c r="D174" s="4" t="s">
        <v>153</v>
      </c>
      <c r="E174" s="4" t="s">
        <v>24</v>
      </c>
      <c r="F174" s="4" t="s">
        <v>25</v>
      </c>
      <c r="G174" s="4" t="s">
        <v>150</v>
      </c>
    </row>
    <row r="175" customFormat="false" ht="15" hidden="false" customHeight="false" outlineLevel="0" collapsed="false">
      <c r="A175" s="4" t="s">
        <v>228</v>
      </c>
      <c r="B175" s="4" t="s">
        <v>229</v>
      </c>
      <c r="C175" s="4" t="s">
        <v>120</v>
      </c>
      <c r="D175" s="4" t="s">
        <v>153</v>
      </c>
      <c r="E175" s="4" t="s">
        <v>26</v>
      </c>
      <c r="F175" s="4" t="s">
        <v>25</v>
      </c>
      <c r="G175" s="4" t="s">
        <v>150</v>
      </c>
    </row>
    <row r="176" customFormat="false" ht="15" hidden="false" customHeight="false" outlineLevel="0" collapsed="false">
      <c r="A176" s="4" t="s">
        <v>228</v>
      </c>
      <c r="B176" s="4" t="s">
        <v>229</v>
      </c>
      <c r="C176" s="4" t="s">
        <v>120</v>
      </c>
      <c r="D176" s="4" t="s">
        <v>153</v>
      </c>
      <c r="E176" s="4" t="s">
        <v>39</v>
      </c>
      <c r="F176" s="4" t="s">
        <v>36</v>
      </c>
      <c r="G176" s="4" t="s">
        <v>150</v>
      </c>
    </row>
    <row r="177" customFormat="false" ht="15" hidden="false" customHeight="false" outlineLevel="0" collapsed="false">
      <c r="A177" s="4" t="s">
        <v>228</v>
      </c>
      <c r="B177" s="4" t="s">
        <v>229</v>
      </c>
      <c r="C177" s="4" t="s">
        <v>120</v>
      </c>
      <c r="D177" s="4" t="s">
        <v>153</v>
      </c>
      <c r="E177" s="4" t="s">
        <v>46</v>
      </c>
      <c r="F177" s="4" t="s">
        <v>44</v>
      </c>
      <c r="G177" s="4" t="s">
        <v>150</v>
      </c>
    </row>
    <row r="178" customFormat="false" ht="15" hidden="false" customHeight="false" outlineLevel="0" collapsed="false">
      <c r="A178" s="4" t="s">
        <v>228</v>
      </c>
      <c r="B178" s="4" t="s">
        <v>229</v>
      </c>
      <c r="C178" s="4" t="s">
        <v>120</v>
      </c>
      <c r="D178" s="4" t="s">
        <v>153</v>
      </c>
      <c r="E178" s="4" t="s">
        <v>65</v>
      </c>
      <c r="F178" s="4" t="s">
        <v>66</v>
      </c>
      <c r="G178" s="4" t="s">
        <v>433</v>
      </c>
    </row>
    <row r="179" customFormat="false" ht="15" hidden="false" customHeight="false" outlineLevel="0" collapsed="false">
      <c r="A179" s="4" t="s">
        <v>228</v>
      </c>
      <c r="B179" s="4" t="s">
        <v>229</v>
      </c>
      <c r="C179" s="4" t="s">
        <v>120</v>
      </c>
      <c r="D179" s="4" t="s">
        <v>153</v>
      </c>
      <c r="E179" s="4" t="s">
        <v>68</v>
      </c>
      <c r="F179" s="4" t="s">
        <v>69</v>
      </c>
      <c r="G179" s="4" t="s">
        <v>433</v>
      </c>
    </row>
    <row r="180" customFormat="false" ht="15" hidden="false" customHeight="false" outlineLevel="0" collapsed="false">
      <c r="A180" s="4" t="s">
        <v>231</v>
      </c>
      <c r="B180" s="4" t="s">
        <v>232</v>
      </c>
      <c r="C180" s="4" t="s">
        <v>121</v>
      </c>
      <c r="D180" s="4" t="s">
        <v>144</v>
      </c>
      <c r="E180" s="4" t="s">
        <v>9</v>
      </c>
      <c r="F180" s="4" t="s">
        <v>10</v>
      </c>
      <c r="G180" s="4" t="s">
        <v>150</v>
      </c>
    </row>
    <row r="181" customFormat="false" ht="15" hidden="false" customHeight="false" outlineLevel="0" collapsed="false">
      <c r="A181" s="4" t="s">
        <v>231</v>
      </c>
      <c r="B181" s="4" t="s">
        <v>232</v>
      </c>
      <c r="C181" s="4" t="s">
        <v>121</v>
      </c>
      <c r="D181" s="4" t="s">
        <v>144</v>
      </c>
      <c r="E181" s="4" t="s">
        <v>11</v>
      </c>
      <c r="F181" s="4" t="s">
        <v>10</v>
      </c>
      <c r="G181" s="4" t="s">
        <v>150</v>
      </c>
    </row>
    <row r="182" customFormat="false" ht="15" hidden="false" customHeight="false" outlineLevel="0" collapsed="false">
      <c r="A182" s="4" t="s">
        <v>231</v>
      </c>
      <c r="B182" s="4" t="s">
        <v>232</v>
      </c>
      <c r="C182" s="4" t="s">
        <v>121</v>
      </c>
      <c r="D182" s="4" t="s">
        <v>144</v>
      </c>
      <c r="E182" s="4" t="s">
        <v>12</v>
      </c>
      <c r="F182" s="4" t="s">
        <v>10</v>
      </c>
      <c r="G182" s="4" t="s">
        <v>150</v>
      </c>
    </row>
    <row r="183" customFormat="false" ht="15" hidden="false" customHeight="false" outlineLevel="0" collapsed="false">
      <c r="A183" s="4" t="s">
        <v>231</v>
      </c>
      <c r="B183" s="4" t="s">
        <v>232</v>
      </c>
      <c r="C183" s="4" t="s">
        <v>121</v>
      </c>
      <c r="D183" s="4" t="s">
        <v>144</v>
      </c>
      <c r="E183" s="4" t="s">
        <v>15</v>
      </c>
      <c r="F183" s="4" t="s">
        <v>10</v>
      </c>
      <c r="G183" s="4" t="s">
        <v>150</v>
      </c>
    </row>
    <row r="184" customFormat="false" ht="15" hidden="false" customHeight="false" outlineLevel="0" collapsed="false">
      <c r="A184" s="4" t="s">
        <v>231</v>
      </c>
      <c r="B184" s="4" t="s">
        <v>232</v>
      </c>
      <c r="C184" s="4" t="s">
        <v>121</v>
      </c>
      <c r="D184" s="4" t="s">
        <v>144</v>
      </c>
      <c r="E184" s="4" t="s">
        <v>17</v>
      </c>
      <c r="F184" s="4" t="s">
        <v>10</v>
      </c>
      <c r="G184" s="4" t="s">
        <v>150</v>
      </c>
    </row>
    <row r="185" customFormat="false" ht="15" hidden="false" customHeight="false" outlineLevel="0" collapsed="false">
      <c r="A185" s="4" t="s">
        <v>231</v>
      </c>
      <c r="B185" s="4" t="s">
        <v>232</v>
      </c>
      <c r="C185" s="4" t="s">
        <v>121</v>
      </c>
      <c r="D185" s="4" t="s">
        <v>144</v>
      </c>
      <c r="E185" s="4" t="s">
        <v>19</v>
      </c>
      <c r="F185" s="4" t="s">
        <v>20</v>
      </c>
      <c r="G185" s="4" t="s">
        <v>150</v>
      </c>
    </row>
    <row r="186" customFormat="false" ht="15" hidden="false" customHeight="false" outlineLevel="0" collapsed="false">
      <c r="A186" s="4" t="s">
        <v>231</v>
      </c>
      <c r="B186" s="4" t="s">
        <v>232</v>
      </c>
      <c r="C186" s="4" t="s">
        <v>121</v>
      </c>
      <c r="D186" s="4" t="s">
        <v>144</v>
      </c>
      <c r="E186" s="4" t="s">
        <v>21</v>
      </c>
      <c r="F186" s="4" t="s">
        <v>20</v>
      </c>
      <c r="G186" s="4" t="s">
        <v>150</v>
      </c>
    </row>
    <row r="187" customFormat="false" ht="15" hidden="false" customHeight="false" outlineLevel="0" collapsed="false">
      <c r="A187" s="4" t="s">
        <v>231</v>
      </c>
      <c r="B187" s="4" t="s">
        <v>232</v>
      </c>
      <c r="C187" s="4" t="s">
        <v>121</v>
      </c>
      <c r="D187" s="4" t="s">
        <v>144</v>
      </c>
      <c r="E187" s="4" t="s">
        <v>41</v>
      </c>
      <c r="F187" s="4" t="s">
        <v>42</v>
      </c>
      <c r="G187" s="4" t="s">
        <v>150</v>
      </c>
    </row>
    <row r="188" customFormat="false" ht="15" hidden="false" customHeight="false" outlineLevel="0" collapsed="false">
      <c r="A188" s="4" t="s">
        <v>231</v>
      </c>
      <c r="B188" s="4" t="s">
        <v>232</v>
      </c>
      <c r="C188" s="4" t="s">
        <v>121</v>
      </c>
      <c r="D188" s="4" t="s">
        <v>144</v>
      </c>
      <c r="E188" s="4" t="s">
        <v>61</v>
      </c>
      <c r="F188" s="4" t="s">
        <v>57</v>
      </c>
      <c r="G188" s="4" t="s">
        <v>433</v>
      </c>
    </row>
    <row r="189" customFormat="false" ht="15" hidden="false" customHeight="false" outlineLevel="0" collapsed="false">
      <c r="A189" s="4" t="s">
        <v>231</v>
      </c>
      <c r="B189" s="4" t="s">
        <v>232</v>
      </c>
      <c r="C189" s="4" t="s">
        <v>121</v>
      </c>
      <c r="D189" s="4" t="s">
        <v>144</v>
      </c>
      <c r="E189" s="4" t="s">
        <v>65</v>
      </c>
      <c r="F189" s="4" t="s">
        <v>66</v>
      </c>
      <c r="G189" s="4" t="s">
        <v>432</v>
      </c>
    </row>
    <row r="190" customFormat="false" ht="15" hidden="false" customHeight="false" outlineLevel="0" collapsed="false">
      <c r="A190" s="4" t="s">
        <v>231</v>
      </c>
      <c r="B190" s="4" t="s">
        <v>232</v>
      </c>
      <c r="C190" s="4" t="s">
        <v>121</v>
      </c>
      <c r="D190" s="4" t="s">
        <v>144</v>
      </c>
      <c r="E190" s="4" t="s">
        <v>68</v>
      </c>
      <c r="F190" s="4" t="s">
        <v>69</v>
      </c>
      <c r="G190" s="4" t="s">
        <v>150</v>
      </c>
    </row>
    <row r="191" customFormat="false" ht="15" hidden="false" customHeight="false" outlineLevel="0" collapsed="false">
      <c r="A191" s="4" t="s">
        <v>231</v>
      </c>
      <c r="B191" s="4" t="s">
        <v>232</v>
      </c>
      <c r="C191" s="4" t="s">
        <v>121</v>
      </c>
      <c r="D191" s="4" t="s">
        <v>144</v>
      </c>
      <c r="E191" s="4" t="s">
        <v>70</v>
      </c>
      <c r="F191" s="4" t="s">
        <v>69</v>
      </c>
      <c r="G191" s="4" t="s">
        <v>432</v>
      </c>
    </row>
    <row r="192" customFormat="false" ht="15" hidden="false" customHeight="false" outlineLevel="0" collapsed="false">
      <c r="A192" s="4" t="s">
        <v>231</v>
      </c>
      <c r="B192" s="4" t="s">
        <v>232</v>
      </c>
      <c r="C192" s="4" t="s">
        <v>121</v>
      </c>
      <c r="D192" s="4" t="s">
        <v>144</v>
      </c>
      <c r="E192" s="4" t="s">
        <v>104</v>
      </c>
      <c r="F192" s="4" t="s">
        <v>101</v>
      </c>
      <c r="G192" s="4" t="s">
        <v>433</v>
      </c>
    </row>
    <row r="193" customFormat="false" ht="15" hidden="false" customHeight="false" outlineLevel="0" collapsed="false">
      <c r="A193" s="4" t="s">
        <v>237</v>
      </c>
      <c r="B193" s="4" t="s">
        <v>238</v>
      </c>
      <c r="C193" s="4" t="s">
        <v>121</v>
      </c>
      <c r="D193" s="4" t="s">
        <v>153</v>
      </c>
      <c r="E193" s="4" t="s">
        <v>9</v>
      </c>
      <c r="F193" s="4" t="s">
        <v>10</v>
      </c>
      <c r="G193" s="4" t="s">
        <v>432</v>
      </c>
    </row>
    <row r="194" customFormat="false" ht="15" hidden="false" customHeight="false" outlineLevel="0" collapsed="false">
      <c r="A194" s="4" t="s">
        <v>237</v>
      </c>
      <c r="B194" s="4" t="s">
        <v>238</v>
      </c>
      <c r="C194" s="4" t="s">
        <v>121</v>
      </c>
      <c r="D194" s="4" t="s">
        <v>153</v>
      </c>
      <c r="E194" s="4" t="s">
        <v>11</v>
      </c>
      <c r="F194" s="4" t="s">
        <v>10</v>
      </c>
      <c r="G194" s="4" t="s">
        <v>432</v>
      </c>
    </row>
    <row r="195" customFormat="false" ht="15" hidden="false" customHeight="false" outlineLevel="0" collapsed="false">
      <c r="A195" s="4" t="s">
        <v>237</v>
      </c>
      <c r="B195" s="4" t="s">
        <v>238</v>
      </c>
      <c r="C195" s="4" t="s">
        <v>121</v>
      </c>
      <c r="D195" s="4" t="s">
        <v>153</v>
      </c>
      <c r="E195" s="4" t="s">
        <v>12</v>
      </c>
      <c r="F195" s="4" t="s">
        <v>10</v>
      </c>
      <c r="G195" s="4" t="s">
        <v>432</v>
      </c>
    </row>
    <row r="196" customFormat="false" ht="15" hidden="false" customHeight="false" outlineLevel="0" collapsed="false">
      <c r="A196" s="4" t="s">
        <v>237</v>
      </c>
      <c r="B196" s="4" t="s">
        <v>238</v>
      </c>
      <c r="C196" s="4" t="s">
        <v>121</v>
      </c>
      <c r="D196" s="4" t="s">
        <v>153</v>
      </c>
      <c r="E196" s="4" t="s">
        <v>22</v>
      </c>
      <c r="F196" s="4" t="s">
        <v>20</v>
      </c>
      <c r="G196" s="4" t="s">
        <v>433</v>
      </c>
    </row>
    <row r="197" customFormat="false" ht="15" hidden="false" customHeight="false" outlineLevel="0" collapsed="false">
      <c r="A197" s="4" t="s">
        <v>237</v>
      </c>
      <c r="B197" s="4" t="s">
        <v>238</v>
      </c>
      <c r="C197" s="4" t="s">
        <v>121</v>
      </c>
      <c r="D197" s="4" t="s">
        <v>153</v>
      </c>
      <c r="E197" s="4" t="s">
        <v>35</v>
      </c>
      <c r="F197" s="4" t="s">
        <v>36</v>
      </c>
      <c r="G197" s="4" t="s">
        <v>432</v>
      </c>
    </row>
    <row r="198" customFormat="false" ht="15" hidden="false" customHeight="false" outlineLevel="0" collapsed="false">
      <c r="A198" s="4" t="s">
        <v>237</v>
      </c>
      <c r="B198" s="4" t="s">
        <v>238</v>
      </c>
      <c r="C198" s="4" t="s">
        <v>121</v>
      </c>
      <c r="D198" s="4" t="s">
        <v>153</v>
      </c>
      <c r="E198" s="4" t="s">
        <v>41</v>
      </c>
      <c r="F198" s="4" t="s">
        <v>42</v>
      </c>
      <c r="G198" s="4" t="s">
        <v>150</v>
      </c>
    </row>
    <row r="199" customFormat="false" ht="15" hidden="false" customHeight="false" outlineLevel="0" collapsed="false">
      <c r="A199" s="4" t="s">
        <v>237</v>
      </c>
      <c r="B199" s="4" t="s">
        <v>238</v>
      </c>
      <c r="C199" s="4" t="s">
        <v>121</v>
      </c>
      <c r="D199" s="4" t="s">
        <v>153</v>
      </c>
      <c r="E199" s="4" t="s">
        <v>65</v>
      </c>
      <c r="F199" s="4" t="s">
        <v>66</v>
      </c>
      <c r="G199" s="4" t="s">
        <v>432</v>
      </c>
    </row>
    <row r="200" customFormat="false" ht="15" hidden="false" customHeight="false" outlineLevel="0" collapsed="false">
      <c r="A200" s="4" t="s">
        <v>237</v>
      </c>
      <c r="B200" s="4" t="s">
        <v>238</v>
      </c>
      <c r="C200" s="4" t="s">
        <v>121</v>
      </c>
      <c r="D200" s="4" t="s">
        <v>153</v>
      </c>
      <c r="E200" s="4" t="s">
        <v>68</v>
      </c>
      <c r="F200" s="4" t="s">
        <v>69</v>
      </c>
      <c r="G200" s="4" t="s">
        <v>432</v>
      </c>
    </row>
    <row r="201" customFormat="false" ht="15" hidden="false" customHeight="false" outlineLevel="0" collapsed="false">
      <c r="A201" s="4" t="s">
        <v>237</v>
      </c>
      <c r="B201" s="4" t="s">
        <v>238</v>
      </c>
      <c r="C201" s="4" t="s">
        <v>121</v>
      </c>
      <c r="D201" s="4" t="s">
        <v>153</v>
      </c>
      <c r="E201" s="4" t="s">
        <v>75</v>
      </c>
      <c r="F201" s="4" t="s">
        <v>74</v>
      </c>
      <c r="G201" s="4" t="s">
        <v>432</v>
      </c>
    </row>
    <row r="202" customFormat="false" ht="15" hidden="false" customHeight="false" outlineLevel="0" collapsed="false">
      <c r="A202" s="4" t="s">
        <v>237</v>
      </c>
      <c r="B202" s="4" t="s">
        <v>238</v>
      </c>
      <c r="C202" s="4" t="s">
        <v>121</v>
      </c>
      <c r="D202" s="4" t="s">
        <v>153</v>
      </c>
      <c r="E202" s="4" t="s">
        <v>104</v>
      </c>
      <c r="F202" s="4" t="s">
        <v>101</v>
      </c>
      <c r="G202" s="4" t="s">
        <v>433</v>
      </c>
    </row>
    <row r="203" customFormat="false" ht="15" hidden="false" customHeight="false" outlineLevel="0" collapsed="false">
      <c r="A203" s="4" t="s">
        <v>245</v>
      </c>
      <c r="B203" s="4" t="s">
        <v>246</v>
      </c>
      <c r="C203" s="4" t="s">
        <v>122</v>
      </c>
      <c r="D203" s="4" t="s">
        <v>144</v>
      </c>
      <c r="E203" s="4" t="s">
        <v>9</v>
      </c>
      <c r="F203" s="4" t="s">
        <v>10</v>
      </c>
      <c r="G203" s="4" t="s">
        <v>434</v>
      </c>
    </row>
    <row r="204" customFormat="false" ht="15" hidden="false" customHeight="false" outlineLevel="0" collapsed="false">
      <c r="A204" s="4" t="s">
        <v>245</v>
      </c>
      <c r="B204" s="4" t="s">
        <v>246</v>
      </c>
      <c r="C204" s="4" t="s">
        <v>122</v>
      </c>
      <c r="D204" s="4" t="s">
        <v>144</v>
      </c>
      <c r="E204" s="4" t="s">
        <v>21</v>
      </c>
      <c r="F204" s="4" t="s">
        <v>20</v>
      </c>
      <c r="G204" s="4" t="s">
        <v>434</v>
      </c>
    </row>
    <row r="205" customFormat="false" ht="15" hidden="false" customHeight="false" outlineLevel="0" collapsed="false">
      <c r="A205" s="4" t="s">
        <v>245</v>
      </c>
      <c r="B205" s="4" t="s">
        <v>246</v>
      </c>
      <c r="C205" s="4" t="s">
        <v>122</v>
      </c>
      <c r="D205" s="4" t="s">
        <v>144</v>
      </c>
      <c r="E205" s="4" t="s">
        <v>22</v>
      </c>
      <c r="F205" s="4" t="s">
        <v>20</v>
      </c>
      <c r="G205" s="4" t="s">
        <v>434</v>
      </c>
    </row>
    <row r="206" customFormat="false" ht="15" hidden="false" customHeight="false" outlineLevel="0" collapsed="false">
      <c r="A206" s="4" t="s">
        <v>245</v>
      </c>
      <c r="B206" s="4" t="s">
        <v>246</v>
      </c>
      <c r="C206" s="4" t="s">
        <v>122</v>
      </c>
      <c r="D206" s="4" t="s">
        <v>144</v>
      </c>
      <c r="E206" s="4" t="s">
        <v>23</v>
      </c>
      <c r="F206" s="4" t="s">
        <v>20</v>
      </c>
      <c r="G206" s="4" t="s">
        <v>434</v>
      </c>
    </row>
    <row r="207" customFormat="false" ht="15" hidden="false" customHeight="false" outlineLevel="0" collapsed="false">
      <c r="A207" s="4" t="s">
        <v>245</v>
      </c>
      <c r="B207" s="4" t="s">
        <v>246</v>
      </c>
      <c r="C207" s="4" t="s">
        <v>122</v>
      </c>
      <c r="D207" s="4" t="s">
        <v>144</v>
      </c>
      <c r="E207" s="4" t="s">
        <v>41</v>
      </c>
      <c r="F207" s="4" t="s">
        <v>42</v>
      </c>
      <c r="G207" s="4" t="s">
        <v>434</v>
      </c>
    </row>
    <row r="208" customFormat="false" ht="15" hidden="false" customHeight="false" outlineLevel="0" collapsed="false">
      <c r="A208" s="4" t="s">
        <v>245</v>
      </c>
      <c r="B208" s="4" t="s">
        <v>246</v>
      </c>
      <c r="C208" s="4" t="s">
        <v>122</v>
      </c>
      <c r="D208" s="4" t="s">
        <v>144</v>
      </c>
      <c r="E208" s="4" t="s">
        <v>47</v>
      </c>
      <c r="F208" s="4" t="s">
        <v>44</v>
      </c>
      <c r="G208" s="4" t="s">
        <v>434</v>
      </c>
    </row>
    <row r="209" customFormat="false" ht="15" hidden="false" customHeight="false" outlineLevel="0" collapsed="false">
      <c r="A209" s="4" t="s">
        <v>245</v>
      </c>
      <c r="B209" s="4" t="s">
        <v>246</v>
      </c>
      <c r="C209" s="4" t="s">
        <v>122</v>
      </c>
      <c r="D209" s="4" t="s">
        <v>144</v>
      </c>
      <c r="E209" s="4" t="s">
        <v>48</v>
      </c>
      <c r="F209" s="4" t="s">
        <v>44</v>
      </c>
      <c r="G209" s="4" t="s">
        <v>434</v>
      </c>
    </row>
    <row r="210" customFormat="false" ht="15" hidden="false" customHeight="false" outlineLevel="0" collapsed="false">
      <c r="A210" s="4" t="s">
        <v>245</v>
      </c>
      <c r="B210" s="4" t="s">
        <v>246</v>
      </c>
      <c r="C210" s="4" t="s">
        <v>122</v>
      </c>
      <c r="D210" s="4" t="s">
        <v>144</v>
      </c>
      <c r="E210" s="4" t="s">
        <v>56</v>
      </c>
      <c r="F210" s="4" t="s">
        <v>57</v>
      </c>
      <c r="G210" s="4" t="s">
        <v>434</v>
      </c>
    </row>
    <row r="211" customFormat="false" ht="15" hidden="false" customHeight="false" outlineLevel="0" collapsed="false">
      <c r="A211" s="4" t="s">
        <v>245</v>
      </c>
      <c r="B211" s="4" t="s">
        <v>246</v>
      </c>
      <c r="C211" s="4" t="s">
        <v>122</v>
      </c>
      <c r="D211" s="4" t="s">
        <v>144</v>
      </c>
      <c r="E211" s="4" t="s">
        <v>65</v>
      </c>
      <c r="F211" s="4" t="s">
        <v>66</v>
      </c>
      <c r="G211" s="4" t="s">
        <v>434</v>
      </c>
    </row>
    <row r="212" customFormat="false" ht="15" hidden="false" customHeight="false" outlineLevel="0" collapsed="false">
      <c r="A212" s="4" t="s">
        <v>249</v>
      </c>
      <c r="B212" s="4" t="s">
        <v>250</v>
      </c>
      <c r="C212" s="4" t="s">
        <v>122</v>
      </c>
      <c r="D212" s="4" t="s">
        <v>144</v>
      </c>
      <c r="E212" s="4" t="s">
        <v>9</v>
      </c>
      <c r="F212" s="4" t="s">
        <v>10</v>
      </c>
      <c r="G212" s="4" t="s">
        <v>150</v>
      </c>
    </row>
    <row r="213" customFormat="false" ht="15" hidden="false" customHeight="false" outlineLevel="0" collapsed="false">
      <c r="A213" s="4" t="s">
        <v>249</v>
      </c>
      <c r="B213" s="4" t="s">
        <v>250</v>
      </c>
      <c r="C213" s="4" t="s">
        <v>122</v>
      </c>
      <c r="D213" s="4" t="s">
        <v>144</v>
      </c>
      <c r="E213" s="4" t="s">
        <v>41</v>
      </c>
      <c r="F213" s="4" t="s">
        <v>42</v>
      </c>
      <c r="G213" s="4" t="s">
        <v>150</v>
      </c>
    </row>
    <row r="214" customFormat="false" ht="15" hidden="false" customHeight="false" outlineLevel="0" collapsed="false">
      <c r="A214" s="4" t="s">
        <v>249</v>
      </c>
      <c r="B214" s="4" t="s">
        <v>250</v>
      </c>
      <c r="C214" s="4" t="s">
        <v>122</v>
      </c>
      <c r="D214" s="4" t="s">
        <v>144</v>
      </c>
      <c r="E214" s="4" t="s">
        <v>65</v>
      </c>
      <c r="F214" s="4" t="s">
        <v>66</v>
      </c>
      <c r="G214" s="4" t="s">
        <v>432</v>
      </c>
    </row>
    <row r="215" customFormat="false" ht="15" hidden="false" customHeight="false" outlineLevel="0" collapsed="false">
      <c r="A215" s="4" t="s">
        <v>249</v>
      </c>
      <c r="B215" s="4" t="s">
        <v>250</v>
      </c>
      <c r="C215" s="4" t="s">
        <v>122</v>
      </c>
      <c r="D215" s="4" t="s">
        <v>144</v>
      </c>
      <c r="E215" s="4" t="s">
        <v>68</v>
      </c>
      <c r="F215" s="4" t="s">
        <v>69</v>
      </c>
      <c r="G215" s="4" t="s">
        <v>432</v>
      </c>
    </row>
    <row r="216" customFormat="false" ht="15" hidden="false" customHeight="false" outlineLevel="0" collapsed="false">
      <c r="A216" s="4" t="s">
        <v>254</v>
      </c>
      <c r="B216" s="4" t="s">
        <v>255</v>
      </c>
      <c r="C216" s="4" t="s">
        <v>122</v>
      </c>
      <c r="D216" s="4" t="s">
        <v>153</v>
      </c>
      <c r="E216" s="4" t="s">
        <v>9</v>
      </c>
      <c r="F216" s="4" t="s">
        <v>10</v>
      </c>
      <c r="G216" s="4" t="s">
        <v>150</v>
      </c>
    </row>
    <row r="217" customFormat="false" ht="15" hidden="false" customHeight="false" outlineLevel="0" collapsed="false">
      <c r="A217" s="4" t="s">
        <v>254</v>
      </c>
      <c r="B217" s="4" t="s">
        <v>255</v>
      </c>
      <c r="C217" s="4" t="s">
        <v>122</v>
      </c>
      <c r="D217" s="4" t="s">
        <v>153</v>
      </c>
      <c r="E217" s="4" t="s">
        <v>41</v>
      </c>
      <c r="F217" s="4" t="s">
        <v>42</v>
      </c>
      <c r="G217" s="4" t="s">
        <v>150</v>
      </c>
    </row>
    <row r="218" customFormat="false" ht="15" hidden="false" customHeight="false" outlineLevel="0" collapsed="false">
      <c r="A218" s="4" t="s">
        <v>254</v>
      </c>
      <c r="B218" s="4" t="s">
        <v>255</v>
      </c>
      <c r="C218" s="4" t="s">
        <v>122</v>
      </c>
      <c r="D218" s="4" t="s">
        <v>153</v>
      </c>
      <c r="E218" s="4" t="s">
        <v>65</v>
      </c>
      <c r="F218" s="4" t="s">
        <v>66</v>
      </c>
      <c r="G218" s="4" t="s">
        <v>432</v>
      </c>
    </row>
    <row r="219" customFormat="false" ht="15" hidden="false" customHeight="false" outlineLevel="0" collapsed="false">
      <c r="A219" s="4" t="s">
        <v>254</v>
      </c>
      <c r="B219" s="4" t="s">
        <v>255</v>
      </c>
      <c r="C219" s="4" t="s">
        <v>122</v>
      </c>
      <c r="D219" s="4" t="s">
        <v>153</v>
      </c>
      <c r="E219" s="4" t="s">
        <v>68</v>
      </c>
      <c r="F219" s="4" t="s">
        <v>69</v>
      </c>
      <c r="G219" s="4" t="s">
        <v>150</v>
      </c>
    </row>
    <row r="220" customFormat="false" ht="15" hidden="false" customHeight="false" outlineLevel="0" collapsed="false">
      <c r="A220" s="4" t="s">
        <v>254</v>
      </c>
      <c r="B220" s="4" t="s">
        <v>255</v>
      </c>
      <c r="C220" s="4" t="s">
        <v>122</v>
      </c>
      <c r="D220" s="4" t="s">
        <v>153</v>
      </c>
      <c r="E220" s="4" t="s">
        <v>81</v>
      </c>
      <c r="F220" s="4" t="s">
        <v>79</v>
      </c>
      <c r="G220" s="4" t="s">
        <v>432</v>
      </c>
    </row>
    <row r="221" customFormat="false" ht="15" hidden="false" customHeight="false" outlineLevel="0" collapsed="false">
      <c r="A221" s="4" t="s">
        <v>254</v>
      </c>
      <c r="B221" s="4" t="s">
        <v>255</v>
      </c>
      <c r="C221" s="4" t="s">
        <v>122</v>
      </c>
      <c r="D221" s="4" t="s">
        <v>153</v>
      </c>
      <c r="E221" s="4" t="s">
        <v>103</v>
      </c>
      <c r="F221" s="4" t="s">
        <v>101</v>
      </c>
      <c r="G221" s="4" t="s">
        <v>432</v>
      </c>
    </row>
    <row r="222" customFormat="false" ht="15" hidden="false" customHeight="false" outlineLevel="0" collapsed="false">
      <c r="A222" s="4" t="s">
        <v>254</v>
      </c>
      <c r="B222" s="4" t="s">
        <v>255</v>
      </c>
      <c r="C222" s="4" t="s">
        <v>122</v>
      </c>
      <c r="D222" s="4" t="s">
        <v>153</v>
      </c>
      <c r="E222" s="4" t="s">
        <v>108</v>
      </c>
      <c r="F222" s="4" t="s">
        <v>107</v>
      </c>
      <c r="G222" s="4" t="s">
        <v>432</v>
      </c>
    </row>
    <row r="223" customFormat="false" ht="15" hidden="false" customHeight="false" outlineLevel="0" collapsed="false">
      <c r="A223" s="4" t="s">
        <v>257</v>
      </c>
      <c r="B223" s="4" t="s">
        <v>258</v>
      </c>
      <c r="C223" s="4" t="s">
        <v>122</v>
      </c>
      <c r="D223" s="4" t="s">
        <v>153</v>
      </c>
      <c r="E223" s="4" t="s">
        <v>27</v>
      </c>
      <c r="F223" s="4" t="s">
        <v>28</v>
      </c>
      <c r="G223" s="4" t="s">
        <v>150</v>
      </c>
    </row>
    <row r="224" customFormat="false" ht="15" hidden="false" customHeight="false" outlineLevel="0" collapsed="false">
      <c r="A224" s="4" t="s">
        <v>257</v>
      </c>
      <c r="B224" s="4" t="s">
        <v>258</v>
      </c>
      <c r="C224" s="4" t="s">
        <v>122</v>
      </c>
      <c r="D224" s="4" t="s">
        <v>153</v>
      </c>
      <c r="E224" s="4" t="s">
        <v>65</v>
      </c>
      <c r="F224" s="4" t="s">
        <v>66</v>
      </c>
      <c r="G224" s="4" t="s">
        <v>150</v>
      </c>
    </row>
    <row r="225" customFormat="false" ht="15" hidden="false" customHeight="false" outlineLevel="0" collapsed="false">
      <c r="A225" s="4" t="s">
        <v>257</v>
      </c>
      <c r="B225" s="4" t="s">
        <v>258</v>
      </c>
      <c r="C225" s="4" t="s">
        <v>122</v>
      </c>
      <c r="D225" s="4" t="s">
        <v>153</v>
      </c>
      <c r="E225" s="4" t="s">
        <v>68</v>
      </c>
      <c r="F225" s="4" t="s">
        <v>69</v>
      </c>
      <c r="G225" s="4" t="s">
        <v>150</v>
      </c>
    </row>
    <row r="226" customFormat="false" ht="15" hidden="false" customHeight="false" outlineLevel="0" collapsed="false">
      <c r="A226" s="4" t="s">
        <v>257</v>
      </c>
      <c r="B226" s="4" t="s">
        <v>258</v>
      </c>
      <c r="C226" s="4" t="s">
        <v>122</v>
      </c>
      <c r="D226" s="4" t="s">
        <v>153</v>
      </c>
      <c r="E226" s="4" t="s">
        <v>75</v>
      </c>
      <c r="F226" s="4" t="s">
        <v>74</v>
      </c>
      <c r="G226" s="4" t="s">
        <v>432</v>
      </c>
    </row>
    <row r="227" customFormat="false" ht="15" hidden="false" customHeight="false" outlineLevel="0" collapsed="false">
      <c r="A227" s="4" t="s">
        <v>257</v>
      </c>
      <c r="B227" s="4" t="s">
        <v>258</v>
      </c>
      <c r="C227" s="4" t="s">
        <v>122</v>
      </c>
      <c r="D227" s="4" t="s">
        <v>153</v>
      </c>
      <c r="E227" s="4" t="s">
        <v>96</v>
      </c>
      <c r="F227" s="4" t="s">
        <v>95</v>
      </c>
      <c r="G227" s="4" t="s">
        <v>150</v>
      </c>
    </row>
    <row r="228" customFormat="false" ht="15" hidden="false" customHeight="false" outlineLevel="0" collapsed="false">
      <c r="A228" s="4" t="s">
        <v>257</v>
      </c>
      <c r="B228" s="4" t="s">
        <v>258</v>
      </c>
      <c r="C228" s="4" t="s">
        <v>122</v>
      </c>
      <c r="D228" s="4" t="s">
        <v>153</v>
      </c>
      <c r="E228" s="4" t="s">
        <v>100</v>
      </c>
      <c r="F228" s="4" t="s">
        <v>101</v>
      </c>
      <c r="G228" s="4" t="s">
        <v>432</v>
      </c>
    </row>
    <row r="229" customFormat="false" ht="15" hidden="false" customHeight="false" outlineLevel="0" collapsed="false">
      <c r="A229" s="4" t="s">
        <v>257</v>
      </c>
      <c r="B229" s="4" t="s">
        <v>258</v>
      </c>
      <c r="C229" s="4" t="s">
        <v>122</v>
      </c>
      <c r="D229" s="4" t="s">
        <v>153</v>
      </c>
      <c r="E229" s="4" t="s">
        <v>102</v>
      </c>
      <c r="F229" s="4" t="s">
        <v>101</v>
      </c>
      <c r="G229" s="4" t="s">
        <v>150</v>
      </c>
    </row>
    <row r="230" customFormat="false" ht="15" hidden="false" customHeight="false" outlineLevel="0" collapsed="false">
      <c r="A230" s="4" t="s">
        <v>257</v>
      </c>
      <c r="B230" s="4" t="s">
        <v>258</v>
      </c>
      <c r="C230" s="4" t="s">
        <v>122</v>
      </c>
      <c r="D230" s="4" t="s">
        <v>153</v>
      </c>
      <c r="E230" s="4" t="s">
        <v>108</v>
      </c>
      <c r="F230" s="4" t="s">
        <v>107</v>
      </c>
      <c r="G230" s="4" t="s">
        <v>432</v>
      </c>
    </row>
    <row r="231" customFormat="false" ht="15" hidden="false" customHeight="false" outlineLevel="0" collapsed="false">
      <c r="A231" s="4" t="s">
        <v>259</v>
      </c>
      <c r="B231" s="4" t="s">
        <v>260</v>
      </c>
      <c r="C231" s="4" t="s">
        <v>122</v>
      </c>
      <c r="D231" s="4" t="s">
        <v>153</v>
      </c>
      <c r="E231" s="4" t="s">
        <v>9</v>
      </c>
      <c r="F231" s="4" t="s">
        <v>10</v>
      </c>
      <c r="G231" s="4" t="s">
        <v>432</v>
      </c>
    </row>
    <row r="232" customFormat="false" ht="15" hidden="false" customHeight="false" outlineLevel="0" collapsed="false">
      <c r="A232" s="4" t="s">
        <v>259</v>
      </c>
      <c r="B232" s="4" t="s">
        <v>260</v>
      </c>
      <c r="C232" s="4" t="s">
        <v>122</v>
      </c>
      <c r="D232" s="4" t="s">
        <v>153</v>
      </c>
      <c r="E232" s="4" t="s">
        <v>11</v>
      </c>
      <c r="F232" s="4" t="s">
        <v>10</v>
      </c>
      <c r="G232" s="4" t="s">
        <v>432</v>
      </c>
    </row>
    <row r="233" customFormat="false" ht="15" hidden="false" customHeight="false" outlineLevel="0" collapsed="false">
      <c r="A233" s="4" t="s">
        <v>259</v>
      </c>
      <c r="B233" s="4" t="s">
        <v>260</v>
      </c>
      <c r="C233" s="4" t="s">
        <v>122</v>
      </c>
      <c r="D233" s="4" t="s">
        <v>153</v>
      </c>
      <c r="E233" s="4" t="s">
        <v>12</v>
      </c>
      <c r="F233" s="4" t="s">
        <v>10</v>
      </c>
      <c r="G233" s="4" t="s">
        <v>432</v>
      </c>
    </row>
    <row r="234" customFormat="false" ht="15" hidden="false" customHeight="false" outlineLevel="0" collapsed="false">
      <c r="A234" s="4" t="s">
        <v>259</v>
      </c>
      <c r="B234" s="4" t="s">
        <v>260</v>
      </c>
      <c r="C234" s="4" t="s">
        <v>122</v>
      </c>
      <c r="D234" s="4" t="s">
        <v>153</v>
      </c>
      <c r="E234" s="4" t="s">
        <v>22</v>
      </c>
      <c r="F234" s="4" t="s">
        <v>20</v>
      </c>
      <c r="G234" s="4" t="s">
        <v>433</v>
      </c>
    </row>
    <row r="235" customFormat="false" ht="15" hidden="false" customHeight="false" outlineLevel="0" collapsed="false">
      <c r="A235" s="4" t="s">
        <v>259</v>
      </c>
      <c r="B235" s="4" t="s">
        <v>260</v>
      </c>
      <c r="C235" s="4" t="s">
        <v>122</v>
      </c>
      <c r="D235" s="4" t="s">
        <v>153</v>
      </c>
      <c r="E235" s="4" t="s">
        <v>41</v>
      </c>
      <c r="F235" s="4" t="s">
        <v>42</v>
      </c>
      <c r="G235" s="4" t="s">
        <v>150</v>
      </c>
    </row>
    <row r="236" customFormat="false" ht="15" hidden="false" customHeight="false" outlineLevel="0" collapsed="false">
      <c r="A236" s="4" t="s">
        <v>259</v>
      </c>
      <c r="B236" s="4" t="s">
        <v>260</v>
      </c>
      <c r="C236" s="4" t="s">
        <v>122</v>
      </c>
      <c r="D236" s="4" t="s">
        <v>153</v>
      </c>
      <c r="E236" s="4" t="s">
        <v>65</v>
      </c>
      <c r="F236" s="4" t="s">
        <v>66</v>
      </c>
      <c r="G236" s="4" t="s">
        <v>432</v>
      </c>
    </row>
    <row r="237" customFormat="false" ht="15" hidden="false" customHeight="false" outlineLevel="0" collapsed="false">
      <c r="A237" s="4" t="s">
        <v>259</v>
      </c>
      <c r="B237" s="4" t="s">
        <v>260</v>
      </c>
      <c r="C237" s="4" t="s">
        <v>122</v>
      </c>
      <c r="D237" s="4" t="s">
        <v>153</v>
      </c>
      <c r="E237" s="4" t="s">
        <v>68</v>
      </c>
      <c r="F237" s="4" t="s">
        <v>69</v>
      </c>
      <c r="G237" s="4" t="s">
        <v>432</v>
      </c>
    </row>
    <row r="238" customFormat="false" ht="15" hidden="false" customHeight="false" outlineLevel="0" collapsed="false">
      <c r="A238" s="4" t="s">
        <v>259</v>
      </c>
      <c r="B238" s="4" t="s">
        <v>260</v>
      </c>
      <c r="C238" s="4" t="s">
        <v>122</v>
      </c>
      <c r="D238" s="4" t="s">
        <v>153</v>
      </c>
      <c r="E238" s="4" t="s">
        <v>75</v>
      </c>
      <c r="F238" s="4" t="s">
        <v>74</v>
      </c>
      <c r="G238" s="4" t="s">
        <v>432</v>
      </c>
    </row>
    <row r="239" customFormat="false" ht="15" hidden="false" customHeight="false" outlineLevel="0" collapsed="false">
      <c r="A239" s="4" t="s">
        <v>259</v>
      </c>
      <c r="B239" s="4" t="s">
        <v>260</v>
      </c>
      <c r="C239" s="4" t="s">
        <v>122</v>
      </c>
      <c r="D239" s="4" t="s">
        <v>153</v>
      </c>
      <c r="E239" s="4" t="s">
        <v>102</v>
      </c>
      <c r="F239" s="4" t="s">
        <v>101</v>
      </c>
      <c r="G239" s="4" t="s">
        <v>150</v>
      </c>
    </row>
    <row r="240" customFormat="false" ht="15" hidden="false" customHeight="false" outlineLevel="0" collapsed="false">
      <c r="A240" s="4" t="s">
        <v>267</v>
      </c>
      <c r="B240" s="4" t="s">
        <v>268</v>
      </c>
      <c r="C240" s="4" t="s">
        <v>123</v>
      </c>
      <c r="D240" s="4" t="s">
        <v>153</v>
      </c>
      <c r="E240" s="4" t="s">
        <v>9</v>
      </c>
      <c r="F240" s="4" t="s">
        <v>10</v>
      </c>
      <c r="G240" s="4" t="s">
        <v>432</v>
      </c>
    </row>
    <row r="241" customFormat="false" ht="15" hidden="false" customHeight="false" outlineLevel="0" collapsed="false">
      <c r="A241" s="4" t="s">
        <v>267</v>
      </c>
      <c r="B241" s="4" t="s">
        <v>268</v>
      </c>
      <c r="C241" s="4" t="s">
        <v>123</v>
      </c>
      <c r="D241" s="4" t="s">
        <v>153</v>
      </c>
      <c r="E241" s="4" t="s">
        <v>11</v>
      </c>
      <c r="F241" s="4" t="s">
        <v>10</v>
      </c>
      <c r="G241" s="4" t="s">
        <v>432</v>
      </c>
    </row>
    <row r="242" customFormat="false" ht="15" hidden="false" customHeight="false" outlineLevel="0" collapsed="false">
      <c r="A242" s="4" t="s">
        <v>267</v>
      </c>
      <c r="B242" s="4" t="s">
        <v>268</v>
      </c>
      <c r="C242" s="4" t="s">
        <v>123</v>
      </c>
      <c r="D242" s="4" t="s">
        <v>153</v>
      </c>
      <c r="E242" s="4" t="s">
        <v>12</v>
      </c>
      <c r="F242" s="4" t="s">
        <v>10</v>
      </c>
      <c r="G242" s="4" t="s">
        <v>432</v>
      </c>
    </row>
    <row r="243" customFormat="false" ht="15" hidden="false" customHeight="false" outlineLevel="0" collapsed="false">
      <c r="A243" s="4" t="s">
        <v>267</v>
      </c>
      <c r="B243" s="4" t="s">
        <v>268</v>
      </c>
      <c r="C243" s="4" t="s">
        <v>123</v>
      </c>
      <c r="D243" s="4" t="s">
        <v>153</v>
      </c>
      <c r="E243" s="4" t="s">
        <v>13</v>
      </c>
      <c r="F243" s="4" t="s">
        <v>10</v>
      </c>
      <c r="G243" s="4" t="s">
        <v>432</v>
      </c>
    </row>
    <row r="244" customFormat="false" ht="15" hidden="false" customHeight="false" outlineLevel="0" collapsed="false">
      <c r="A244" s="4" t="s">
        <v>267</v>
      </c>
      <c r="B244" s="4" t="s">
        <v>268</v>
      </c>
      <c r="C244" s="4" t="s">
        <v>123</v>
      </c>
      <c r="D244" s="4" t="s">
        <v>153</v>
      </c>
      <c r="E244" s="4" t="s">
        <v>15</v>
      </c>
      <c r="F244" s="4" t="s">
        <v>10</v>
      </c>
      <c r="G244" s="4" t="s">
        <v>433</v>
      </c>
    </row>
    <row r="245" customFormat="false" ht="15" hidden="false" customHeight="false" outlineLevel="0" collapsed="false">
      <c r="A245" s="4" t="s">
        <v>267</v>
      </c>
      <c r="B245" s="4" t="s">
        <v>268</v>
      </c>
      <c r="C245" s="4" t="s">
        <v>123</v>
      </c>
      <c r="D245" s="4" t="s">
        <v>153</v>
      </c>
      <c r="E245" s="4" t="s">
        <v>22</v>
      </c>
      <c r="F245" s="4" t="s">
        <v>20</v>
      </c>
      <c r="G245" s="4" t="s">
        <v>433</v>
      </c>
    </row>
    <row r="246" customFormat="false" ht="15" hidden="false" customHeight="false" outlineLevel="0" collapsed="false">
      <c r="A246" s="4" t="s">
        <v>267</v>
      </c>
      <c r="B246" s="4" t="s">
        <v>268</v>
      </c>
      <c r="C246" s="4" t="s">
        <v>123</v>
      </c>
      <c r="D246" s="4" t="s">
        <v>153</v>
      </c>
      <c r="E246" s="4" t="s">
        <v>41</v>
      </c>
      <c r="F246" s="4" t="s">
        <v>42</v>
      </c>
      <c r="G246" s="4" t="s">
        <v>150</v>
      </c>
    </row>
    <row r="247" customFormat="false" ht="15" hidden="false" customHeight="false" outlineLevel="0" collapsed="false">
      <c r="A247" s="4" t="s">
        <v>267</v>
      </c>
      <c r="B247" s="4" t="s">
        <v>268</v>
      </c>
      <c r="C247" s="4" t="s">
        <v>123</v>
      </c>
      <c r="D247" s="4" t="s">
        <v>153</v>
      </c>
      <c r="E247" s="4" t="s">
        <v>46</v>
      </c>
      <c r="F247" s="4" t="s">
        <v>44</v>
      </c>
      <c r="G247" s="4" t="s">
        <v>433</v>
      </c>
    </row>
    <row r="248" customFormat="false" ht="15" hidden="false" customHeight="false" outlineLevel="0" collapsed="false">
      <c r="A248" s="4" t="s">
        <v>267</v>
      </c>
      <c r="B248" s="4" t="s">
        <v>268</v>
      </c>
      <c r="C248" s="4" t="s">
        <v>123</v>
      </c>
      <c r="D248" s="4" t="s">
        <v>153</v>
      </c>
      <c r="E248" s="4" t="s">
        <v>51</v>
      </c>
      <c r="F248" s="4" t="s">
        <v>44</v>
      </c>
      <c r="G248" s="4" t="s">
        <v>433</v>
      </c>
    </row>
    <row r="249" customFormat="false" ht="15" hidden="false" customHeight="false" outlineLevel="0" collapsed="false">
      <c r="A249" s="4" t="s">
        <v>267</v>
      </c>
      <c r="B249" s="4" t="s">
        <v>268</v>
      </c>
      <c r="C249" s="4" t="s">
        <v>123</v>
      </c>
      <c r="D249" s="4" t="s">
        <v>153</v>
      </c>
      <c r="E249" s="4" t="s">
        <v>59</v>
      </c>
      <c r="F249" s="4" t="s">
        <v>57</v>
      </c>
      <c r="G249" s="4" t="s">
        <v>433</v>
      </c>
    </row>
    <row r="250" customFormat="false" ht="15" hidden="false" customHeight="false" outlineLevel="0" collapsed="false">
      <c r="A250" s="4" t="s">
        <v>267</v>
      </c>
      <c r="B250" s="4" t="s">
        <v>268</v>
      </c>
      <c r="C250" s="4" t="s">
        <v>123</v>
      </c>
      <c r="D250" s="4" t="s">
        <v>153</v>
      </c>
      <c r="E250" s="4" t="s">
        <v>62</v>
      </c>
      <c r="F250" s="4" t="s">
        <v>63</v>
      </c>
      <c r="G250" s="4" t="s">
        <v>433</v>
      </c>
    </row>
    <row r="251" customFormat="false" ht="15" hidden="false" customHeight="false" outlineLevel="0" collapsed="false">
      <c r="A251" s="4" t="s">
        <v>267</v>
      </c>
      <c r="B251" s="4" t="s">
        <v>268</v>
      </c>
      <c r="C251" s="4" t="s">
        <v>123</v>
      </c>
      <c r="D251" s="4" t="s">
        <v>153</v>
      </c>
      <c r="E251" s="4" t="s">
        <v>64</v>
      </c>
      <c r="F251" s="4" t="s">
        <v>63</v>
      </c>
      <c r="G251" s="4" t="s">
        <v>433</v>
      </c>
    </row>
    <row r="252" customFormat="false" ht="15" hidden="false" customHeight="false" outlineLevel="0" collapsed="false">
      <c r="A252" s="4" t="s">
        <v>267</v>
      </c>
      <c r="B252" s="4" t="s">
        <v>268</v>
      </c>
      <c r="C252" s="4" t="s">
        <v>123</v>
      </c>
      <c r="D252" s="4" t="s">
        <v>153</v>
      </c>
      <c r="E252" s="4" t="s">
        <v>65</v>
      </c>
      <c r="F252" s="4" t="s">
        <v>66</v>
      </c>
      <c r="G252" s="4" t="s">
        <v>432</v>
      </c>
    </row>
    <row r="253" customFormat="false" ht="15" hidden="false" customHeight="false" outlineLevel="0" collapsed="false">
      <c r="A253" s="4" t="s">
        <v>267</v>
      </c>
      <c r="B253" s="4" t="s">
        <v>268</v>
      </c>
      <c r="C253" s="4" t="s">
        <v>123</v>
      </c>
      <c r="D253" s="4" t="s">
        <v>153</v>
      </c>
      <c r="E253" s="4" t="s">
        <v>68</v>
      </c>
      <c r="F253" s="4" t="s">
        <v>69</v>
      </c>
      <c r="G253" s="4" t="s">
        <v>432</v>
      </c>
    </row>
    <row r="254" customFormat="false" ht="15" hidden="false" customHeight="false" outlineLevel="0" collapsed="false">
      <c r="A254" s="4" t="s">
        <v>267</v>
      </c>
      <c r="B254" s="4" t="s">
        <v>268</v>
      </c>
      <c r="C254" s="4" t="s">
        <v>123</v>
      </c>
      <c r="D254" s="4" t="s">
        <v>153</v>
      </c>
      <c r="E254" s="4" t="s">
        <v>75</v>
      </c>
      <c r="F254" s="4" t="s">
        <v>74</v>
      </c>
      <c r="G254" s="4" t="s">
        <v>432</v>
      </c>
    </row>
    <row r="255" customFormat="false" ht="15" hidden="false" customHeight="false" outlineLevel="0" collapsed="false">
      <c r="A255" s="4" t="s">
        <v>267</v>
      </c>
      <c r="B255" s="4" t="s">
        <v>268</v>
      </c>
      <c r="C255" s="4" t="s">
        <v>123</v>
      </c>
      <c r="D255" s="4" t="s">
        <v>153</v>
      </c>
      <c r="E255" s="4" t="s">
        <v>97</v>
      </c>
      <c r="F255" s="4" t="s">
        <v>98</v>
      </c>
      <c r="G255" s="4" t="s">
        <v>150</v>
      </c>
    </row>
    <row r="256" customFormat="false" ht="15" hidden="false" customHeight="false" outlineLevel="0" collapsed="false">
      <c r="A256" s="4" t="s">
        <v>267</v>
      </c>
      <c r="B256" s="4" t="s">
        <v>268</v>
      </c>
      <c r="C256" s="4" t="s">
        <v>123</v>
      </c>
      <c r="D256" s="4" t="s">
        <v>153</v>
      </c>
      <c r="E256" s="4" t="s">
        <v>100</v>
      </c>
      <c r="F256" s="4" t="s">
        <v>101</v>
      </c>
      <c r="G256" s="4" t="s">
        <v>150</v>
      </c>
    </row>
    <row r="257" customFormat="false" ht="15" hidden="false" customHeight="false" outlineLevel="0" collapsed="false">
      <c r="A257" s="4" t="s">
        <v>267</v>
      </c>
      <c r="B257" s="4" t="s">
        <v>268</v>
      </c>
      <c r="C257" s="4" t="s">
        <v>123</v>
      </c>
      <c r="D257" s="4" t="s">
        <v>153</v>
      </c>
      <c r="E257" s="4" t="s">
        <v>103</v>
      </c>
      <c r="F257" s="4" t="s">
        <v>101</v>
      </c>
      <c r="G257" s="4" t="s">
        <v>432</v>
      </c>
    </row>
    <row r="258" customFormat="false" ht="15" hidden="false" customHeight="false" outlineLevel="0" collapsed="false">
      <c r="A258" s="4" t="s">
        <v>267</v>
      </c>
      <c r="B258" s="4" t="s">
        <v>268</v>
      </c>
      <c r="C258" s="4" t="s">
        <v>123</v>
      </c>
      <c r="D258" s="4" t="s">
        <v>153</v>
      </c>
      <c r="E258" s="4" t="s">
        <v>108</v>
      </c>
      <c r="F258" s="4" t="s">
        <v>107</v>
      </c>
      <c r="G258" s="4" t="s">
        <v>432</v>
      </c>
    </row>
    <row r="259" customFormat="false" ht="15" hidden="false" customHeight="false" outlineLevel="0" collapsed="false">
      <c r="A259" s="4" t="s">
        <v>271</v>
      </c>
      <c r="B259" s="4" t="s">
        <v>272</v>
      </c>
      <c r="C259" s="4" t="s">
        <v>123</v>
      </c>
      <c r="D259" s="4" t="s">
        <v>153</v>
      </c>
      <c r="E259" s="4" t="s">
        <v>9</v>
      </c>
      <c r="F259" s="4" t="s">
        <v>10</v>
      </c>
      <c r="G259" s="4" t="s">
        <v>150</v>
      </c>
    </row>
    <row r="260" customFormat="false" ht="15" hidden="false" customHeight="false" outlineLevel="0" collapsed="false">
      <c r="A260" s="4" t="s">
        <v>271</v>
      </c>
      <c r="B260" s="4" t="s">
        <v>272</v>
      </c>
      <c r="C260" s="4" t="s">
        <v>123</v>
      </c>
      <c r="D260" s="4" t="s">
        <v>153</v>
      </c>
      <c r="E260" s="4" t="s">
        <v>11</v>
      </c>
      <c r="F260" s="4" t="s">
        <v>10</v>
      </c>
      <c r="G260" s="4" t="s">
        <v>433</v>
      </c>
    </row>
    <row r="261" customFormat="false" ht="15" hidden="false" customHeight="false" outlineLevel="0" collapsed="false">
      <c r="A261" s="4" t="s">
        <v>271</v>
      </c>
      <c r="B261" s="4" t="s">
        <v>272</v>
      </c>
      <c r="C261" s="4" t="s">
        <v>123</v>
      </c>
      <c r="D261" s="4" t="s">
        <v>153</v>
      </c>
      <c r="E261" s="4" t="s">
        <v>12</v>
      </c>
      <c r="F261" s="4" t="s">
        <v>10</v>
      </c>
      <c r="G261" s="4" t="s">
        <v>433</v>
      </c>
    </row>
    <row r="262" customFormat="false" ht="15" hidden="false" customHeight="false" outlineLevel="0" collapsed="false">
      <c r="A262" s="4" t="s">
        <v>271</v>
      </c>
      <c r="B262" s="4" t="s">
        <v>272</v>
      </c>
      <c r="C262" s="4" t="s">
        <v>123</v>
      </c>
      <c r="D262" s="4" t="s">
        <v>153</v>
      </c>
      <c r="E262" s="4" t="s">
        <v>41</v>
      </c>
      <c r="F262" s="4" t="s">
        <v>42</v>
      </c>
      <c r="G262" s="4" t="s">
        <v>150</v>
      </c>
    </row>
    <row r="263" customFormat="false" ht="15" hidden="false" customHeight="false" outlineLevel="0" collapsed="false">
      <c r="A263" s="4" t="s">
        <v>271</v>
      </c>
      <c r="B263" s="4" t="s">
        <v>272</v>
      </c>
      <c r="C263" s="4" t="s">
        <v>123</v>
      </c>
      <c r="D263" s="4" t="s">
        <v>153</v>
      </c>
      <c r="E263" s="4" t="s">
        <v>65</v>
      </c>
      <c r="F263" s="4" t="s">
        <v>66</v>
      </c>
      <c r="G263" s="4" t="s">
        <v>432</v>
      </c>
    </row>
    <row r="264" customFormat="false" ht="15" hidden="false" customHeight="false" outlineLevel="0" collapsed="false">
      <c r="A264" s="4" t="s">
        <v>271</v>
      </c>
      <c r="B264" s="4" t="s">
        <v>272</v>
      </c>
      <c r="C264" s="4" t="s">
        <v>123</v>
      </c>
      <c r="D264" s="4" t="s">
        <v>153</v>
      </c>
      <c r="E264" s="4" t="s">
        <v>68</v>
      </c>
      <c r="F264" s="4" t="s">
        <v>69</v>
      </c>
      <c r="G264" s="4" t="s">
        <v>432</v>
      </c>
    </row>
    <row r="265" customFormat="false" ht="15" hidden="false" customHeight="false" outlineLevel="0" collapsed="false">
      <c r="A265" s="4" t="s">
        <v>271</v>
      </c>
      <c r="B265" s="4" t="s">
        <v>272</v>
      </c>
      <c r="C265" s="4" t="s">
        <v>123</v>
      </c>
      <c r="D265" s="4" t="s">
        <v>153</v>
      </c>
      <c r="E265" s="4" t="s">
        <v>75</v>
      </c>
      <c r="F265" s="4" t="s">
        <v>74</v>
      </c>
      <c r="G265" s="4" t="s">
        <v>432</v>
      </c>
    </row>
    <row r="266" customFormat="false" ht="15" hidden="false" customHeight="false" outlineLevel="0" collapsed="false">
      <c r="A266" s="4" t="s">
        <v>271</v>
      </c>
      <c r="B266" s="4" t="s">
        <v>272</v>
      </c>
      <c r="C266" s="4" t="s">
        <v>123</v>
      </c>
      <c r="D266" s="4" t="s">
        <v>153</v>
      </c>
      <c r="E266" s="4" t="s">
        <v>85</v>
      </c>
      <c r="F266" s="4" t="s">
        <v>79</v>
      </c>
      <c r="G266" s="4" t="s">
        <v>432</v>
      </c>
    </row>
    <row r="267" customFormat="false" ht="15" hidden="false" customHeight="false" outlineLevel="0" collapsed="false">
      <c r="A267" s="4" t="s">
        <v>271</v>
      </c>
      <c r="B267" s="4" t="s">
        <v>272</v>
      </c>
      <c r="C267" s="4" t="s">
        <v>123</v>
      </c>
      <c r="D267" s="4" t="s">
        <v>153</v>
      </c>
      <c r="E267" s="4" t="s">
        <v>86</v>
      </c>
      <c r="F267" s="4" t="s">
        <v>79</v>
      </c>
      <c r="G267" s="4" t="s">
        <v>150</v>
      </c>
    </row>
    <row r="268" customFormat="false" ht="15" hidden="false" customHeight="false" outlineLevel="0" collapsed="false">
      <c r="A268" s="4" t="s">
        <v>271</v>
      </c>
      <c r="B268" s="4" t="s">
        <v>272</v>
      </c>
      <c r="C268" s="4" t="s">
        <v>123</v>
      </c>
      <c r="D268" s="4" t="s">
        <v>153</v>
      </c>
      <c r="E268" s="4" t="s">
        <v>97</v>
      </c>
      <c r="F268" s="4" t="s">
        <v>98</v>
      </c>
      <c r="G268" s="4" t="s">
        <v>432</v>
      </c>
    </row>
    <row r="269" customFormat="false" ht="15" hidden="false" customHeight="false" outlineLevel="0" collapsed="false">
      <c r="A269" s="4" t="s">
        <v>271</v>
      </c>
      <c r="B269" s="4" t="s">
        <v>272</v>
      </c>
      <c r="C269" s="4" t="s">
        <v>123</v>
      </c>
      <c r="D269" s="4" t="s">
        <v>153</v>
      </c>
      <c r="E269" s="4" t="s">
        <v>100</v>
      </c>
      <c r="F269" s="4" t="s">
        <v>101</v>
      </c>
      <c r="G269" s="4" t="s">
        <v>432</v>
      </c>
    </row>
    <row r="270" customFormat="false" ht="15" hidden="false" customHeight="false" outlineLevel="0" collapsed="false">
      <c r="A270" s="4" t="s">
        <v>271</v>
      </c>
      <c r="B270" s="4" t="s">
        <v>272</v>
      </c>
      <c r="C270" s="4" t="s">
        <v>123</v>
      </c>
      <c r="D270" s="4" t="s">
        <v>153</v>
      </c>
      <c r="E270" s="4" t="s">
        <v>108</v>
      </c>
      <c r="F270" s="4" t="s">
        <v>107</v>
      </c>
      <c r="G270" s="4" t="s">
        <v>432</v>
      </c>
    </row>
    <row r="271" customFormat="false" ht="15" hidden="false" customHeight="false" outlineLevel="0" collapsed="false">
      <c r="A271" s="4" t="s">
        <v>274</v>
      </c>
      <c r="B271" s="4" t="s">
        <v>275</v>
      </c>
      <c r="C271" s="4" t="s">
        <v>123</v>
      </c>
      <c r="D271" s="4" t="s">
        <v>153</v>
      </c>
      <c r="E271" s="4" t="s">
        <v>9</v>
      </c>
      <c r="F271" s="4" t="s">
        <v>10</v>
      </c>
      <c r="G271" s="4" t="s">
        <v>433</v>
      </c>
    </row>
    <row r="272" customFormat="false" ht="15" hidden="false" customHeight="false" outlineLevel="0" collapsed="false">
      <c r="A272" s="4" t="s">
        <v>274</v>
      </c>
      <c r="B272" s="4" t="s">
        <v>275</v>
      </c>
      <c r="C272" s="4" t="s">
        <v>123</v>
      </c>
      <c r="D272" s="4" t="s">
        <v>153</v>
      </c>
      <c r="E272" s="4" t="s">
        <v>11</v>
      </c>
      <c r="F272" s="4" t="s">
        <v>10</v>
      </c>
      <c r="G272" s="4" t="s">
        <v>433</v>
      </c>
    </row>
    <row r="273" customFormat="false" ht="15" hidden="false" customHeight="false" outlineLevel="0" collapsed="false">
      <c r="A273" s="4" t="s">
        <v>274</v>
      </c>
      <c r="B273" s="4" t="s">
        <v>275</v>
      </c>
      <c r="C273" s="4" t="s">
        <v>123</v>
      </c>
      <c r="D273" s="4" t="s">
        <v>153</v>
      </c>
      <c r="E273" s="4" t="s">
        <v>17</v>
      </c>
      <c r="F273" s="4" t="s">
        <v>10</v>
      </c>
      <c r="G273" s="4" t="s">
        <v>433</v>
      </c>
    </row>
    <row r="274" customFormat="false" ht="15" hidden="false" customHeight="false" outlineLevel="0" collapsed="false">
      <c r="A274" s="4" t="s">
        <v>274</v>
      </c>
      <c r="B274" s="4" t="s">
        <v>275</v>
      </c>
      <c r="C274" s="4" t="s">
        <v>123</v>
      </c>
      <c r="D274" s="4" t="s">
        <v>153</v>
      </c>
      <c r="E274" s="4" t="s">
        <v>21</v>
      </c>
      <c r="F274" s="4" t="s">
        <v>20</v>
      </c>
      <c r="G274" s="4" t="s">
        <v>433</v>
      </c>
    </row>
    <row r="275" customFormat="false" ht="15" hidden="false" customHeight="false" outlineLevel="0" collapsed="false">
      <c r="A275" s="4" t="s">
        <v>274</v>
      </c>
      <c r="B275" s="4" t="s">
        <v>275</v>
      </c>
      <c r="C275" s="4" t="s">
        <v>123</v>
      </c>
      <c r="D275" s="4" t="s">
        <v>153</v>
      </c>
      <c r="E275" s="4" t="s">
        <v>22</v>
      </c>
      <c r="F275" s="4" t="s">
        <v>20</v>
      </c>
      <c r="G275" s="4" t="s">
        <v>433</v>
      </c>
    </row>
    <row r="276" customFormat="false" ht="15" hidden="false" customHeight="false" outlineLevel="0" collapsed="false">
      <c r="A276" s="4" t="s">
        <v>274</v>
      </c>
      <c r="B276" s="4" t="s">
        <v>275</v>
      </c>
      <c r="C276" s="4" t="s">
        <v>123</v>
      </c>
      <c r="D276" s="4" t="s">
        <v>153</v>
      </c>
      <c r="E276" s="4" t="s">
        <v>32</v>
      </c>
      <c r="F276" s="4" t="s">
        <v>28</v>
      </c>
      <c r="G276" s="4" t="s">
        <v>433</v>
      </c>
    </row>
    <row r="277" customFormat="false" ht="15" hidden="false" customHeight="false" outlineLevel="0" collapsed="false">
      <c r="A277" s="4" t="s">
        <v>274</v>
      </c>
      <c r="B277" s="4" t="s">
        <v>275</v>
      </c>
      <c r="C277" s="4" t="s">
        <v>123</v>
      </c>
      <c r="D277" s="4" t="s">
        <v>153</v>
      </c>
      <c r="E277" s="4" t="s">
        <v>41</v>
      </c>
      <c r="F277" s="4" t="s">
        <v>42</v>
      </c>
      <c r="G277" s="4" t="s">
        <v>433</v>
      </c>
    </row>
    <row r="278" customFormat="false" ht="15" hidden="false" customHeight="false" outlineLevel="0" collapsed="false">
      <c r="A278" s="4" t="s">
        <v>274</v>
      </c>
      <c r="B278" s="4" t="s">
        <v>275</v>
      </c>
      <c r="C278" s="4" t="s">
        <v>123</v>
      </c>
      <c r="D278" s="4" t="s">
        <v>153</v>
      </c>
      <c r="E278" s="4" t="s">
        <v>65</v>
      </c>
      <c r="F278" s="4" t="s">
        <v>66</v>
      </c>
      <c r="G278" s="4" t="s">
        <v>433</v>
      </c>
    </row>
    <row r="279" customFormat="false" ht="15" hidden="false" customHeight="false" outlineLevel="0" collapsed="false">
      <c r="A279" s="4" t="s">
        <v>274</v>
      </c>
      <c r="B279" s="4" t="s">
        <v>275</v>
      </c>
      <c r="C279" s="4" t="s">
        <v>123</v>
      </c>
      <c r="D279" s="4" t="s">
        <v>153</v>
      </c>
      <c r="E279" s="4" t="s">
        <v>68</v>
      </c>
      <c r="F279" s="4" t="s">
        <v>69</v>
      </c>
      <c r="G279" s="4" t="s">
        <v>433</v>
      </c>
    </row>
    <row r="280" customFormat="false" ht="15" hidden="false" customHeight="false" outlineLevel="0" collapsed="false">
      <c r="A280" s="4" t="s">
        <v>274</v>
      </c>
      <c r="B280" s="4" t="s">
        <v>275</v>
      </c>
      <c r="C280" s="4" t="s">
        <v>123</v>
      </c>
      <c r="D280" s="4" t="s">
        <v>153</v>
      </c>
      <c r="E280" s="4" t="s">
        <v>75</v>
      </c>
      <c r="F280" s="4" t="s">
        <v>74</v>
      </c>
      <c r="G280" s="4" t="s">
        <v>433</v>
      </c>
    </row>
    <row r="281" customFormat="false" ht="15" hidden="false" customHeight="false" outlineLevel="0" collapsed="false">
      <c r="A281" s="4" t="s">
        <v>274</v>
      </c>
      <c r="B281" s="4" t="s">
        <v>275</v>
      </c>
      <c r="C281" s="4" t="s">
        <v>123</v>
      </c>
      <c r="D281" s="4" t="s">
        <v>153</v>
      </c>
      <c r="E281" s="4" t="s">
        <v>102</v>
      </c>
      <c r="F281" s="4" t="s">
        <v>101</v>
      </c>
      <c r="G281" s="4" t="s">
        <v>433</v>
      </c>
    </row>
    <row r="282" customFormat="false" ht="15" hidden="false" customHeight="false" outlineLevel="0" collapsed="false">
      <c r="A282" s="4" t="s">
        <v>278</v>
      </c>
      <c r="B282" s="4" t="s">
        <v>279</v>
      </c>
      <c r="C282" s="4" t="s">
        <v>123</v>
      </c>
      <c r="D282" s="4" t="s">
        <v>153</v>
      </c>
      <c r="E282" s="4" t="s">
        <v>9</v>
      </c>
      <c r="F282" s="4" t="s">
        <v>10</v>
      </c>
      <c r="G282" s="4" t="s">
        <v>432</v>
      </c>
    </row>
    <row r="283" customFormat="false" ht="15" hidden="false" customHeight="false" outlineLevel="0" collapsed="false">
      <c r="A283" s="4" t="s">
        <v>278</v>
      </c>
      <c r="B283" s="4" t="s">
        <v>279</v>
      </c>
      <c r="C283" s="4" t="s">
        <v>123</v>
      </c>
      <c r="D283" s="4" t="s">
        <v>153</v>
      </c>
      <c r="E283" s="4" t="s">
        <v>11</v>
      </c>
      <c r="F283" s="4" t="s">
        <v>10</v>
      </c>
      <c r="G283" s="4" t="s">
        <v>432</v>
      </c>
    </row>
    <row r="284" customFormat="false" ht="15" hidden="false" customHeight="false" outlineLevel="0" collapsed="false">
      <c r="A284" s="4" t="s">
        <v>278</v>
      </c>
      <c r="B284" s="4" t="s">
        <v>279</v>
      </c>
      <c r="C284" s="4" t="s">
        <v>123</v>
      </c>
      <c r="D284" s="4" t="s">
        <v>153</v>
      </c>
      <c r="E284" s="4" t="s">
        <v>12</v>
      </c>
      <c r="F284" s="4" t="s">
        <v>10</v>
      </c>
      <c r="G284" s="4" t="s">
        <v>432</v>
      </c>
    </row>
    <row r="285" customFormat="false" ht="15" hidden="false" customHeight="false" outlineLevel="0" collapsed="false">
      <c r="A285" s="4" t="s">
        <v>278</v>
      </c>
      <c r="B285" s="4" t="s">
        <v>279</v>
      </c>
      <c r="C285" s="4" t="s">
        <v>123</v>
      </c>
      <c r="D285" s="4" t="s">
        <v>153</v>
      </c>
      <c r="E285" s="4" t="s">
        <v>27</v>
      </c>
      <c r="F285" s="4" t="s">
        <v>28</v>
      </c>
      <c r="G285" s="4" t="s">
        <v>150</v>
      </c>
    </row>
    <row r="286" customFormat="false" ht="15" hidden="false" customHeight="false" outlineLevel="0" collapsed="false">
      <c r="A286" s="4" t="s">
        <v>278</v>
      </c>
      <c r="B286" s="4" t="s">
        <v>279</v>
      </c>
      <c r="C286" s="4" t="s">
        <v>123</v>
      </c>
      <c r="D286" s="4" t="s">
        <v>153</v>
      </c>
      <c r="E286" s="4" t="s">
        <v>41</v>
      </c>
      <c r="F286" s="4" t="s">
        <v>42</v>
      </c>
      <c r="G286" s="4" t="s">
        <v>150</v>
      </c>
    </row>
    <row r="287" customFormat="false" ht="15" hidden="false" customHeight="false" outlineLevel="0" collapsed="false">
      <c r="A287" s="4" t="s">
        <v>278</v>
      </c>
      <c r="B287" s="4" t="s">
        <v>279</v>
      </c>
      <c r="C287" s="4" t="s">
        <v>123</v>
      </c>
      <c r="D287" s="4" t="s">
        <v>153</v>
      </c>
      <c r="E287" s="4" t="s">
        <v>65</v>
      </c>
      <c r="F287" s="4" t="s">
        <v>66</v>
      </c>
      <c r="G287" s="4" t="s">
        <v>432</v>
      </c>
    </row>
    <row r="288" customFormat="false" ht="15" hidden="false" customHeight="false" outlineLevel="0" collapsed="false">
      <c r="A288" s="4" t="s">
        <v>278</v>
      </c>
      <c r="B288" s="4" t="s">
        <v>279</v>
      </c>
      <c r="C288" s="4" t="s">
        <v>123</v>
      </c>
      <c r="D288" s="4" t="s">
        <v>153</v>
      </c>
      <c r="E288" s="4" t="s">
        <v>68</v>
      </c>
      <c r="F288" s="4" t="s">
        <v>69</v>
      </c>
      <c r="G288" s="4" t="s">
        <v>432</v>
      </c>
    </row>
    <row r="289" customFormat="false" ht="15" hidden="false" customHeight="false" outlineLevel="0" collapsed="false">
      <c r="A289" s="4" t="s">
        <v>278</v>
      </c>
      <c r="B289" s="4" t="s">
        <v>279</v>
      </c>
      <c r="C289" s="4" t="s">
        <v>123</v>
      </c>
      <c r="D289" s="4" t="s">
        <v>153</v>
      </c>
      <c r="E289" s="4" t="s">
        <v>73</v>
      </c>
      <c r="F289" s="4" t="s">
        <v>74</v>
      </c>
      <c r="G289" s="4" t="s">
        <v>432</v>
      </c>
    </row>
    <row r="290" customFormat="false" ht="15" hidden="false" customHeight="false" outlineLevel="0" collapsed="false">
      <c r="A290" s="4" t="s">
        <v>278</v>
      </c>
      <c r="B290" s="4" t="s">
        <v>279</v>
      </c>
      <c r="C290" s="4" t="s">
        <v>123</v>
      </c>
      <c r="D290" s="4" t="s">
        <v>153</v>
      </c>
      <c r="E290" s="4" t="s">
        <v>75</v>
      </c>
      <c r="F290" s="4" t="s">
        <v>74</v>
      </c>
      <c r="G290" s="4" t="s">
        <v>432</v>
      </c>
    </row>
    <row r="291" customFormat="false" ht="15" hidden="false" customHeight="false" outlineLevel="0" collapsed="false">
      <c r="A291" s="4" t="s">
        <v>283</v>
      </c>
      <c r="B291" s="4" t="s">
        <v>284</v>
      </c>
      <c r="C291" s="4" t="s">
        <v>123</v>
      </c>
      <c r="D291" s="4" t="s">
        <v>153</v>
      </c>
      <c r="E291" s="4" t="s">
        <v>9</v>
      </c>
      <c r="F291" s="4" t="s">
        <v>10</v>
      </c>
      <c r="G291" s="4" t="s">
        <v>432</v>
      </c>
    </row>
    <row r="292" customFormat="false" ht="15" hidden="false" customHeight="false" outlineLevel="0" collapsed="false">
      <c r="A292" s="4" t="s">
        <v>283</v>
      </c>
      <c r="B292" s="4" t="s">
        <v>284</v>
      </c>
      <c r="C292" s="4" t="s">
        <v>123</v>
      </c>
      <c r="D292" s="4" t="s">
        <v>153</v>
      </c>
      <c r="E292" s="4" t="s">
        <v>11</v>
      </c>
      <c r="F292" s="4" t="s">
        <v>10</v>
      </c>
      <c r="G292" s="4" t="s">
        <v>433</v>
      </c>
    </row>
    <row r="293" customFormat="false" ht="15" hidden="false" customHeight="false" outlineLevel="0" collapsed="false">
      <c r="A293" s="4" t="s">
        <v>283</v>
      </c>
      <c r="B293" s="4" t="s">
        <v>284</v>
      </c>
      <c r="C293" s="4" t="s">
        <v>123</v>
      </c>
      <c r="D293" s="4" t="s">
        <v>153</v>
      </c>
      <c r="E293" s="4" t="s">
        <v>12</v>
      </c>
      <c r="F293" s="4" t="s">
        <v>10</v>
      </c>
      <c r="G293" s="4" t="s">
        <v>433</v>
      </c>
    </row>
    <row r="294" customFormat="false" ht="15" hidden="false" customHeight="false" outlineLevel="0" collapsed="false">
      <c r="A294" s="4" t="s">
        <v>283</v>
      </c>
      <c r="B294" s="4" t="s">
        <v>284</v>
      </c>
      <c r="C294" s="4" t="s">
        <v>123</v>
      </c>
      <c r="D294" s="4" t="s">
        <v>153</v>
      </c>
      <c r="E294" s="4" t="s">
        <v>13</v>
      </c>
      <c r="F294" s="4" t="s">
        <v>10</v>
      </c>
      <c r="G294" s="4" t="s">
        <v>433</v>
      </c>
    </row>
    <row r="295" customFormat="false" ht="15" hidden="false" customHeight="false" outlineLevel="0" collapsed="false">
      <c r="A295" s="4" t="s">
        <v>283</v>
      </c>
      <c r="B295" s="4" t="s">
        <v>284</v>
      </c>
      <c r="C295" s="4" t="s">
        <v>123</v>
      </c>
      <c r="D295" s="4" t="s">
        <v>153</v>
      </c>
      <c r="E295" s="4" t="s">
        <v>32</v>
      </c>
      <c r="F295" s="4" t="s">
        <v>28</v>
      </c>
      <c r="G295" s="4" t="s">
        <v>432</v>
      </c>
    </row>
    <row r="296" customFormat="false" ht="15" hidden="false" customHeight="false" outlineLevel="0" collapsed="false">
      <c r="A296" s="4" t="s">
        <v>283</v>
      </c>
      <c r="B296" s="4" t="s">
        <v>284</v>
      </c>
      <c r="C296" s="4" t="s">
        <v>123</v>
      </c>
      <c r="D296" s="4" t="s">
        <v>153</v>
      </c>
      <c r="E296" s="4" t="s">
        <v>41</v>
      </c>
      <c r="F296" s="4" t="s">
        <v>42</v>
      </c>
      <c r="G296" s="4" t="s">
        <v>150</v>
      </c>
    </row>
    <row r="297" customFormat="false" ht="15" hidden="false" customHeight="false" outlineLevel="0" collapsed="false">
      <c r="A297" s="4" t="s">
        <v>283</v>
      </c>
      <c r="B297" s="4" t="s">
        <v>284</v>
      </c>
      <c r="C297" s="4" t="s">
        <v>123</v>
      </c>
      <c r="D297" s="4" t="s">
        <v>153</v>
      </c>
      <c r="E297" s="4" t="s">
        <v>65</v>
      </c>
      <c r="F297" s="4" t="s">
        <v>66</v>
      </c>
      <c r="G297" s="4" t="s">
        <v>432</v>
      </c>
    </row>
    <row r="298" customFormat="false" ht="15" hidden="false" customHeight="false" outlineLevel="0" collapsed="false">
      <c r="A298" s="4" t="s">
        <v>283</v>
      </c>
      <c r="B298" s="4" t="s">
        <v>284</v>
      </c>
      <c r="C298" s="4" t="s">
        <v>123</v>
      </c>
      <c r="D298" s="4" t="s">
        <v>153</v>
      </c>
      <c r="E298" s="4" t="s">
        <v>68</v>
      </c>
      <c r="F298" s="4" t="s">
        <v>69</v>
      </c>
      <c r="G298" s="4" t="s">
        <v>432</v>
      </c>
    </row>
    <row r="299" customFormat="false" ht="15" hidden="false" customHeight="false" outlineLevel="0" collapsed="false">
      <c r="A299" s="4" t="s">
        <v>283</v>
      </c>
      <c r="B299" s="4" t="s">
        <v>284</v>
      </c>
      <c r="C299" s="4" t="s">
        <v>123</v>
      </c>
      <c r="D299" s="4" t="s">
        <v>153</v>
      </c>
      <c r="E299" s="4" t="s">
        <v>85</v>
      </c>
      <c r="F299" s="4" t="s">
        <v>79</v>
      </c>
      <c r="G299" s="4" t="s">
        <v>432</v>
      </c>
    </row>
    <row r="300" customFormat="false" ht="15" hidden="false" customHeight="false" outlineLevel="0" collapsed="false">
      <c r="A300" s="4" t="s">
        <v>283</v>
      </c>
      <c r="B300" s="4" t="s">
        <v>284</v>
      </c>
      <c r="C300" s="4" t="s">
        <v>123</v>
      </c>
      <c r="D300" s="4" t="s">
        <v>153</v>
      </c>
      <c r="E300" s="4" t="s">
        <v>96</v>
      </c>
      <c r="F300" s="4" t="s">
        <v>95</v>
      </c>
      <c r="G300" s="4" t="s">
        <v>150</v>
      </c>
    </row>
    <row r="301" customFormat="false" ht="15" hidden="false" customHeight="false" outlineLevel="0" collapsed="false">
      <c r="A301" s="4" t="s">
        <v>283</v>
      </c>
      <c r="B301" s="4" t="s">
        <v>284</v>
      </c>
      <c r="C301" s="4" t="s">
        <v>123</v>
      </c>
      <c r="D301" s="4" t="s">
        <v>153</v>
      </c>
      <c r="E301" s="4" t="s">
        <v>100</v>
      </c>
      <c r="F301" s="4" t="s">
        <v>101</v>
      </c>
      <c r="G301" s="4" t="s">
        <v>432</v>
      </c>
    </row>
    <row r="302" customFormat="false" ht="15" hidden="false" customHeight="false" outlineLevel="0" collapsed="false">
      <c r="A302" s="4" t="s">
        <v>283</v>
      </c>
      <c r="B302" s="4" t="s">
        <v>284</v>
      </c>
      <c r="C302" s="4" t="s">
        <v>123</v>
      </c>
      <c r="D302" s="4" t="s">
        <v>153</v>
      </c>
      <c r="E302" s="4" t="s">
        <v>108</v>
      </c>
      <c r="F302" s="4" t="s">
        <v>107</v>
      </c>
      <c r="G302" s="4" t="s">
        <v>432</v>
      </c>
    </row>
    <row r="303" customFormat="false" ht="15" hidden="false" customHeight="false" outlineLevel="0" collapsed="false">
      <c r="A303" s="4" t="s">
        <v>287</v>
      </c>
      <c r="B303" s="4" t="s">
        <v>288</v>
      </c>
      <c r="C303" s="4" t="s">
        <v>124</v>
      </c>
      <c r="D303" s="4" t="s">
        <v>153</v>
      </c>
      <c r="E303" s="4" t="s">
        <v>11</v>
      </c>
      <c r="F303" s="4" t="s">
        <v>10</v>
      </c>
      <c r="G303" s="4" t="s">
        <v>150</v>
      </c>
    </row>
    <row r="304" customFormat="false" ht="15" hidden="false" customHeight="false" outlineLevel="0" collapsed="false">
      <c r="A304" s="4" t="s">
        <v>287</v>
      </c>
      <c r="B304" s="4" t="s">
        <v>288</v>
      </c>
      <c r="C304" s="4" t="s">
        <v>124</v>
      </c>
      <c r="D304" s="4" t="s">
        <v>153</v>
      </c>
      <c r="E304" s="4" t="s">
        <v>21</v>
      </c>
      <c r="F304" s="4" t="s">
        <v>20</v>
      </c>
      <c r="G304" s="4" t="s">
        <v>150</v>
      </c>
    </row>
    <row r="305" customFormat="false" ht="15" hidden="false" customHeight="false" outlineLevel="0" collapsed="false">
      <c r="A305" s="4" t="s">
        <v>287</v>
      </c>
      <c r="B305" s="4" t="s">
        <v>288</v>
      </c>
      <c r="C305" s="4" t="s">
        <v>124</v>
      </c>
      <c r="D305" s="4" t="s">
        <v>153</v>
      </c>
      <c r="E305" s="4" t="s">
        <v>35</v>
      </c>
      <c r="F305" s="4" t="s">
        <v>36</v>
      </c>
      <c r="G305" s="4" t="s">
        <v>150</v>
      </c>
    </row>
    <row r="306" customFormat="false" ht="15" hidden="false" customHeight="false" outlineLevel="0" collapsed="false">
      <c r="A306" s="4" t="s">
        <v>287</v>
      </c>
      <c r="B306" s="4" t="s">
        <v>288</v>
      </c>
      <c r="C306" s="4" t="s">
        <v>124</v>
      </c>
      <c r="D306" s="4" t="s">
        <v>153</v>
      </c>
      <c r="E306" s="4" t="s">
        <v>68</v>
      </c>
      <c r="F306" s="4" t="s">
        <v>69</v>
      </c>
      <c r="G306" s="4" t="s">
        <v>150</v>
      </c>
    </row>
    <row r="307" customFormat="false" ht="15" hidden="false" customHeight="false" outlineLevel="0" collapsed="false">
      <c r="A307" s="4" t="s">
        <v>287</v>
      </c>
      <c r="B307" s="4" t="s">
        <v>288</v>
      </c>
      <c r="C307" s="4" t="s">
        <v>124</v>
      </c>
      <c r="D307" s="4" t="s">
        <v>153</v>
      </c>
      <c r="E307" s="4" t="s">
        <v>70</v>
      </c>
      <c r="F307" s="4" t="s">
        <v>69</v>
      </c>
      <c r="G307" s="4" t="s">
        <v>150</v>
      </c>
    </row>
    <row r="308" customFormat="false" ht="15" hidden="false" customHeight="false" outlineLevel="0" collapsed="false">
      <c r="A308" s="4" t="s">
        <v>289</v>
      </c>
      <c r="B308" s="4" t="s">
        <v>290</v>
      </c>
      <c r="C308" s="4" t="s">
        <v>124</v>
      </c>
      <c r="D308" s="4" t="s">
        <v>153</v>
      </c>
      <c r="E308" s="4" t="s">
        <v>67</v>
      </c>
      <c r="F308" s="4" t="s">
        <v>66</v>
      </c>
      <c r="G308" s="4" t="s">
        <v>432</v>
      </c>
    </row>
    <row r="309" customFormat="false" ht="15" hidden="false" customHeight="false" outlineLevel="0" collapsed="false">
      <c r="A309" s="4" t="s">
        <v>291</v>
      </c>
      <c r="B309" s="4" t="s">
        <v>292</v>
      </c>
      <c r="C309" s="4" t="s">
        <v>124</v>
      </c>
      <c r="D309" s="4" t="s">
        <v>153</v>
      </c>
      <c r="E309" s="4" t="s">
        <v>9</v>
      </c>
      <c r="F309" s="4" t="s">
        <v>10</v>
      </c>
      <c r="G309" s="4" t="s">
        <v>432</v>
      </c>
    </row>
    <row r="310" customFormat="false" ht="15" hidden="false" customHeight="false" outlineLevel="0" collapsed="false">
      <c r="A310" s="4" t="s">
        <v>291</v>
      </c>
      <c r="B310" s="4" t="s">
        <v>292</v>
      </c>
      <c r="C310" s="4" t="s">
        <v>124</v>
      </c>
      <c r="D310" s="4" t="s">
        <v>153</v>
      </c>
      <c r="E310" s="4" t="s">
        <v>11</v>
      </c>
      <c r="F310" s="4" t="s">
        <v>10</v>
      </c>
      <c r="G310" s="4" t="s">
        <v>432</v>
      </c>
    </row>
    <row r="311" customFormat="false" ht="15" hidden="false" customHeight="false" outlineLevel="0" collapsed="false">
      <c r="A311" s="4" t="s">
        <v>291</v>
      </c>
      <c r="B311" s="4" t="s">
        <v>292</v>
      </c>
      <c r="C311" s="4" t="s">
        <v>124</v>
      </c>
      <c r="D311" s="4" t="s">
        <v>153</v>
      </c>
      <c r="E311" s="4" t="s">
        <v>12</v>
      </c>
      <c r="F311" s="4" t="s">
        <v>10</v>
      </c>
      <c r="G311" s="4" t="s">
        <v>432</v>
      </c>
    </row>
    <row r="312" customFormat="false" ht="15" hidden="false" customHeight="false" outlineLevel="0" collapsed="false">
      <c r="A312" s="4" t="s">
        <v>291</v>
      </c>
      <c r="B312" s="4" t="s">
        <v>292</v>
      </c>
      <c r="C312" s="4" t="s">
        <v>124</v>
      </c>
      <c r="D312" s="4" t="s">
        <v>153</v>
      </c>
      <c r="E312" s="4" t="s">
        <v>15</v>
      </c>
      <c r="F312" s="4" t="s">
        <v>10</v>
      </c>
      <c r="G312" s="4" t="s">
        <v>432</v>
      </c>
    </row>
    <row r="313" customFormat="false" ht="15" hidden="false" customHeight="false" outlineLevel="0" collapsed="false">
      <c r="A313" s="4" t="s">
        <v>291</v>
      </c>
      <c r="B313" s="4" t="s">
        <v>292</v>
      </c>
      <c r="C313" s="4" t="s">
        <v>124</v>
      </c>
      <c r="D313" s="4" t="s">
        <v>153</v>
      </c>
      <c r="E313" s="4" t="s">
        <v>16</v>
      </c>
      <c r="F313" s="4" t="s">
        <v>10</v>
      </c>
      <c r="G313" s="4" t="s">
        <v>432</v>
      </c>
    </row>
    <row r="314" customFormat="false" ht="15" hidden="false" customHeight="false" outlineLevel="0" collapsed="false">
      <c r="A314" s="4" t="s">
        <v>291</v>
      </c>
      <c r="B314" s="4" t="s">
        <v>292</v>
      </c>
      <c r="C314" s="4" t="s">
        <v>124</v>
      </c>
      <c r="D314" s="4" t="s">
        <v>153</v>
      </c>
      <c r="E314" s="4" t="s">
        <v>17</v>
      </c>
      <c r="F314" s="4" t="s">
        <v>10</v>
      </c>
      <c r="G314" s="4" t="s">
        <v>432</v>
      </c>
    </row>
    <row r="315" customFormat="false" ht="15" hidden="false" customHeight="false" outlineLevel="0" collapsed="false">
      <c r="A315" s="4" t="s">
        <v>291</v>
      </c>
      <c r="B315" s="4" t="s">
        <v>292</v>
      </c>
      <c r="C315" s="4" t="s">
        <v>124</v>
      </c>
      <c r="D315" s="4" t="s">
        <v>153</v>
      </c>
      <c r="E315" s="4" t="s">
        <v>19</v>
      </c>
      <c r="F315" s="4" t="s">
        <v>20</v>
      </c>
      <c r="G315" s="4" t="s">
        <v>432</v>
      </c>
    </row>
    <row r="316" customFormat="false" ht="15" hidden="false" customHeight="false" outlineLevel="0" collapsed="false">
      <c r="A316" s="4" t="s">
        <v>291</v>
      </c>
      <c r="B316" s="4" t="s">
        <v>292</v>
      </c>
      <c r="C316" s="4" t="s">
        <v>124</v>
      </c>
      <c r="D316" s="4" t="s">
        <v>153</v>
      </c>
      <c r="E316" s="4" t="s">
        <v>21</v>
      </c>
      <c r="F316" s="4" t="s">
        <v>20</v>
      </c>
      <c r="G316" s="4" t="s">
        <v>432</v>
      </c>
    </row>
    <row r="317" customFormat="false" ht="15" hidden="false" customHeight="false" outlineLevel="0" collapsed="false">
      <c r="A317" s="4" t="s">
        <v>291</v>
      </c>
      <c r="B317" s="4" t="s">
        <v>292</v>
      </c>
      <c r="C317" s="4" t="s">
        <v>124</v>
      </c>
      <c r="D317" s="4" t="s">
        <v>153</v>
      </c>
      <c r="E317" s="4" t="s">
        <v>22</v>
      </c>
      <c r="F317" s="4" t="s">
        <v>20</v>
      </c>
      <c r="G317" s="4" t="s">
        <v>433</v>
      </c>
    </row>
    <row r="318" customFormat="false" ht="15" hidden="false" customHeight="false" outlineLevel="0" collapsed="false">
      <c r="A318" s="4" t="s">
        <v>291</v>
      </c>
      <c r="B318" s="4" t="s">
        <v>292</v>
      </c>
      <c r="C318" s="4" t="s">
        <v>124</v>
      </c>
      <c r="D318" s="4" t="s">
        <v>153</v>
      </c>
      <c r="E318" s="4" t="s">
        <v>24</v>
      </c>
      <c r="F318" s="4" t="s">
        <v>25</v>
      </c>
      <c r="G318" s="4" t="s">
        <v>432</v>
      </c>
    </row>
    <row r="319" customFormat="false" ht="15" hidden="false" customHeight="false" outlineLevel="0" collapsed="false">
      <c r="A319" s="4" t="s">
        <v>291</v>
      </c>
      <c r="B319" s="4" t="s">
        <v>292</v>
      </c>
      <c r="C319" s="4" t="s">
        <v>124</v>
      </c>
      <c r="D319" s="4" t="s">
        <v>153</v>
      </c>
      <c r="E319" s="4" t="s">
        <v>27</v>
      </c>
      <c r="F319" s="4" t="s">
        <v>28</v>
      </c>
      <c r="G319" s="4" t="s">
        <v>432</v>
      </c>
    </row>
    <row r="320" customFormat="false" ht="15" hidden="false" customHeight="false" outlineLevel="0" collapsed="false">
      <c r="A320" s="4" t="s">
        <v>291</v>
      </c>
      <c r="B320" s="4" t="s">
        <v>292</v>
      </c>
      <c r="C320" s="4" t="s">
        <v>124</v>
      </c>
      <c r="D320" s="4" t="s">
        <v>153</v>
      </c>
      <c r="E320" s="4" t="s">
        <v>32</v>
      </c>
      <c r="F320" s="4" t="s">
        <v>28</v>
      </c>
      <c r="G320" s="4" t="s">
        <v>150</v>
      </c>
    </row>
    <row r="321" customFormat="false" ht="15" hidden="false" customHeight="false" outlineLevel="0" collapsed="false">
      <c r="A321" s="4" t="s">
        <v>291</v>
      </c>
      <c r="B321" s="4" t="s">
        <v>292</v>
      </c>
      <c r="C321" s="4" t="s">
        <v>124</v>
      </c>
      <c r="D321" s="4" t="s">
        <v>153</v>
      </c>
      <c r="E321" s="4" t="s">
        <v>35</v>
      </c>
      <c r="F321" s="4" t="s">
        <v>36</v>
      </c>
      <c r="G321" s="4" t="s">
        <v>150</v>
      </c>
    </row>
    <row r="322" customFormat="false" ht="15" hidden="false" customHeight="false" outlineLevel="0" collapsed="false">
      <c r="A322" s="4" t="s">
        <v>291</v>
      </c>
      <c r="B322" s="4" t="s">
        <v>292</v>
      </c>
      <c r="C322" s="4" t="s">
        <v>124</v>
      </c>
      <c r="D322" s="4" t="s">
        <v>153</v>
      </c>
      <c r="E322" s="4" t="s">
        <v>41</v>
      </c>
      <c r="F322" s="4" t="s">
        <v>42</v>
      </c>
      <c r="G322" s="4" t="s">
        <v>150</v>
      </c>
    </row>
    <row r="323" customFormat="false" ht="15" hidden="false" customHeight="false" outlineLevel="0" collapsed="false">
      <c r="A323" s="4" t="s">
        <v>291</v>
      </c>
      <c r="B323" s="4" t="s">
        <v>292</v>
      </c>
      <c r="C323" s="4" t="s">
        <v>124</v>
      </c>
      <c r="D323" s="4" t="s">
        <v>153</v>
      </c>
      <c r="E323" s="4" t="s">
        <v>65</v>
      </c>
      <c r="F323" s="4" t="s">
        <v>66</v>
      </c>
      <c r="G323" s="4" t="s">
        <v>432</v>
      </c>
    </row>
    <row r="324" customFormat="false" ht="15" hidden="false" customHeight="false" outlineLevel="0" collapsed="false">
      <c r="A324" s="4" t="s">
        <v>291</v>
      </c>
      <c r="B324" s="4" t="s">
        <v>292</v>
      </c>
      <c r="C324" s="4" t="s">
        <v>124</v>
      </c>
      <c r="D324" s="4" t="s">
        <v>153</v>
      </c>
      <c r="E324" s="4" t="s">
        <v>68</v>
      </c>
      <c r="F324" s="4" t="s">
        <v>69</v>
      </c>
      <c r="G324" s="4" t="s">
        <v>432</v>
      </c>
    </row>
    <row r="325" customFormat="false" ht="15" hidden="false" customHeight="false" outlineLevel="0" collapsed="false">
      <c r="A325" s="4" t="s">
        <v>291</v>
      </c>
      <c r="B325" s="4" t="s">
        <v>292</v>
      </c>
      <c r="C325" s="4" t="s">
        <v>124</v>
      </c>
      <c r="D325" s="4" t="s">
        <v>153</v>
      </c>
      <c r="E325" s="4" t="s">
        <v>73</v>
      </c>
      <c r="F325" s="4" t="s">
        <v>74</v>
      </c>
      <c r="G325" s="4" t="s">
        <v>432</v>
      </c>
    </row>
    <row r="326" customFormat="false" ht="15" hidden="false" customHeight="false" outlineLevel="0" collapsed="false">
      <c r="A326" s="4" t="s">
        <v>291</v>
      </c>
      <c r="B326" s="4" t="s">
        <v>292</v>
      </c>
      <c r="C326" s="4" t="s">
        <v>124</v>
      </c>
      <c r="D326" s="4" t="s">
        <v>153</v>
      </c>
      <c r="E326" s="4" t="s">
        <v>75</v>
      </c>
      <c r="F326" s="4" t="s">
        <v>74</v>
      </c>
      <c r="G326" s="4" t="s">
        <v>432</v>
      </c>
    </row>
    <row r="327" customFormat="false" ht="15" hidden="false" customHeight="false" outlineLevel="0" collapsed="false">
      <c r="A327" s="4" t="s">
        <v>291</v>
      </c>
      <c r="B327" s="4" t="s">
        <v>292</v>
      </c>
      <c r="C327" s="4" t="s">
        <v>124</v>
      </c>
      <c r="D327" s="4" t="s">
        <v>153</v>
      </c>
      <c r="E327" s="4" t="s">
        <v>80</v>
      </c>
      <c r="F327" s="4" t="s">
        <v>79</v>
      </c>
      <c r="G327" s="4" t="s">
        <v>432</v>
      </c>
    </row>
    <row r="328" customFormat="false" ht="15" hidden="false" customHeight="false" outlineLevel="0" collapsed="false">
      <c r="A328" s="4" t="s">
        <v>291</v>
      </c>
      <c r="B328" s="4" t="s">
        <v>292</v>
      </c>
      <c r="C328" s="4" t="s">
        <v>124</v>
      </c>
      <c r="D328" s="4" t="s">
        <v>153</v>
      </c>
      <c r="E328" s="4" t="s">
        <v>92</v>
      </c>
      <c r="F328" s="4" t="s">
        <v>93</v>
      </c>
      <c r="G328" s="4" t="s">
        <v>150</v>
      </c>
    </row>
    <row r="329" customFormat="false" ht="15" hidden="false" customHeight="false" outlineLevel="0" collapsed="false">
      <c r="A329" s="4" t="s">
        <v>291</v>
      </c>
      <c r="B329" s="4" t="s">
        <v>292</v>
      </c>
      <c r="C329" s="4" t="s">
        <v>124</v>
      </c>
      <c r="D329" s="4" t="s">
        <v>153</v>
      </c>
      <c r="E329" s="4" t="s">
        <v>94</v>
      </c>
      <c r="F329" s="4" t="s">
        <v>95</v>
      </c>
      <c r="G329" s="4" t="s">
        <v>150</v>
      </c>
    </row>
    <row r="330" customFormat="false" ht="15" hidden="false" customHeight="false" outlineLevel="0" collapsed="false">
      <c r="A330" s="4" t="s">
        <v>291</v>
      </c>
      <c r="B330" s="4" t="s">
        <v>292</v>
      </c>
      <c r="C330" s="4" t="s">
        <v>124</v>
      </c>
      <c r="D330" s="4" t="s">
        <v>153</v>
      </c>
      <c r="E330" s="4" t="s">
        <v>105</v>
      </c>
      <c r="F330" s="4" t="s">
        <v>101</v>
      </c>
      <c r="G330" s="4" t="s">
        <v>150</v>
      </c>
    </row>
    <row r="331" customFormat="false" ht="15" hidden="false" customHeight="false" outlineLevel="0" collapsed="false">
      <c r="A331" s="4" t="s">
        <v>291</v>
      </c>
      <c r="B331" s="4" t="s">
        <v>292</v>
      </c>
      <c r="C331" s="4" t="s">
        <v>124</v>
      </c>
      <c r="D331" s="4" t="s">
        <v>153</v>
      </c>
      <c r="E331" s="4" t="s">
        <v>108</v>
      </c>
      <c r="F331" s="4" t="s">
        <v>107</v>
      </c>
      <c r="G331" s="4" t="s">
        <v>432</v>
      </c>
    </row>
    <row r="332" customFormat="false" ht="15" hidden="false" customHeight="false" outlineLevel="0" collapsed="false">
      <c r="A332" s="4" t="s">
        <v>295</v>
      </c>
      <c r="B332" s="4" t="s">
        <v>296</v>
      </c>
      <c r="C332" s="4" t="s">
        <v>124</v>
      </c>
      <c r="D332" s="4" t="s">
        <v>153</v>
      </c>
      <c r="E332" s="4" t="s">
        <v>9</v>
      </c>
      <c r="F332" s="4" t="s">
        <v>10</v>
      </c>
      <c r="G332" s="4" t="s">
        <v>150</v>
      </c>
    </row>
    <row r="333" customFormat="false" ht="15" hidden="false" customHeight="false" outlineLevel="0" collapsed="false">
      <c r="A333" s="4" t="s">
        <v>295</v>
      </c>
      <c r="B333" s="4" t="s">
        <v>296</v>
      </c>
      <c r="C333" s="4" t="s">
        <v>124</v>
      </c>
      <c r="D333" s="4" t="s">
        <v>153</v>
      </c>
      <c r="E333" s="4" t="s">
        <v>11</v>
      </c>
      <c r="F333" s="4" t="s">
        <v>10</v>
      </c>
      <c r="G333" s="4" t="s">
        <v>150</v>
      </c>
    </row>
    <row r="334" customFormat="false" ht="15" hidden="false" customHeight="false" outlineLevel="0" collapsed="false">
      <c r="A334" s="4" t="s">
        <v>295</v>
      </c>
      <c r="B334" s="4" t="s">
        <v>296</v>
      </c>
      <c r="C334" s="4" t="s">
        <v>124</v>
      </c>
      <c r="D334" s="4" t="s">
        <v>153</v>
      </c>
      <c r="E334" s="4" t="s">
        <v>12</v>
      </c>
      <c r="F334" s="4" t="s">
        <v>10</v>
      </c>
      <c r="G334" s="4" t="s">
        <v>150</v>
      </c>
    </row>
    <row r="335" customFormat="false" ht="15" hidden="false" customHeight="false" outlineLevel="0" collapsed="false">
      <c r="A335" s="4" t="s">
        <v>295</v>
      </c>
      <c r="B335" s="4" t="s">
        <v>296</v>
      </c>
      <c r="C335" s="4" t="s">
        <v>124</v>
      </c>
      <c r="D335" s="4" t="s">
        <v>153</v>
      </c>
      <c r="E335" s="4" t="s">
        <v>17</v>
      </c>
      <c r="F335" s="4" t="s">
        <v>10</v>
      </c>
      <c r="G335" s="4" t="s">
        <v>150</v>
      </c>
    </row>
    <row r="336" customFormat="false" ht="15" hidden="false" customHeight="false" outlineLevel="0" collapsed="false">
      <c r="A336" s="4" t="s">
        <v>295</v>
      </c>
      <c r="B336" s="4" t="s">
        <v>296</v>
      </c>
      <c r="C336" s="4" t="s">
        <v>124</v>
      </c>
      <c r="D336" s="4" t="s">
        <v>153</v>
      </c>
      <c r="E336" s="4" t="s">
        <v>19</v>
      </c>
      <c r="F336" s="4" t="s">
        <v>20</v>
      </c>
      <c r="G336" s="4" t="s">
        <v>150</v>
      </c>
    </row>
    <row r="337" customFormat="false" ht="15" hidden="false" customHeight="false" outlineLevel="0" collapsed="false">
      <c r="A337" s="4" t="s">
        <v>295</v>
      </c>
      <c r="B337" s="4" t="s">
        <v>296</v>
      </c>
      <c r="C337" s="4" t="s">
        <v>124</v>
      </c>
      <c r="D337" s="4" t="s">
        <v>153</v>
      </c>
      <c r="E337" s="4" t="s">
        <v>21</v>
      </c>
      <c r="F337" s="4" t="s">
        <v>20</v>
      </c>
      <c r="G337" s="4" t="s">
        <v>150</v>
      </c>
    </row>
    <row r="338" customFormat="false" ht="15" hidden="false" customHeight="false" outlineLevel="0" collapsed="false">
      <c r="A338" s="4" t="s">
        <v>295</v>
      </c>
      <c r="B338" s="4" t="s">
        <v>296</v>
      </c>
      <c r="C338" s="4" t="s">
        <v>124</v>
      </c>
      <c r="D338" s="4" t="s">
        <v>153</v>
      </c>
      <c r="E338" s="4" t="s">
        <v>24</v>
      </c>
      <c r="F338" s="4" t="s">
        <v>25</v>
      </c>
      <c r="G338" s="4" t="s">
        <v>150</v>
      </c>
    </row>
    <row r="339" customFormat="false" ht="15" hidden="false" customHeight="false" outlineLevel="0" collapsed="false">
      <c r="A339" s="4" t="s">
        <v>295</v>
      </c>
      <c r="B339" s="4" t="s">
        <v>296</v>
      </c>
      <c r="C339" s="4" t="s">
        <v>124</v>
      </c>
      <c r="D339" s="4" t="s">
        <v>153</v>
      </c>
      <c r="E339" s="4" t="s">
        <v>41</v>
      </c>
      <c r="F339" s="4" t="s">
        <v>42</v>
      </c>
      <c r="G339" s="4" t="s">
        <v>150</v>
      </c>
    </row>
    <row r="340" customFormat="false" ht="15" hidden="false" customHeight="false" outlineLevel="0" collapsed="false">
      <c r="A340" s="4" t="s">
        <v>295</v>
      </c>
      <c r="B340" s="4" t="s">
        <v>296</v>
      </c>
      <c r="C340" s="4" t="s">
        <v>124</v>
      </c>
      <c r="D340" s="4" t="s">
        <v>153</v>
      </c>
      <c r="E340" s="4" t="s">
        <v>65</v>
      </c>
      <c r="F340" s="4" t="s">
        <v>66</v>
      </c>
      <c r="G340" s="4" t="s">
        <v>150</v>
      </c>
    </row>
    <row r="341" customFormat="false" ht="15" hidden="false" customHeight="false" outlineLevel="0" collapsed="false">
      <c r="A341" s="4" t="s">
        <v>295</v>
      </c>
      <c r="B341" s="4" t="s">
        <v>296</v>
      </c>
      <c r="C341" s="4" t="s">
        <v>124</v>
      </c>
      <c r="D341" s="4" t="s">
        <v>153</v>
      </c>
      <c r="E341" s="4" t="s">
        <v>68</v>
      </c>
      <c r="F341" s="4" t="s">
        <v>69</v>
      </c>
      <c r="G341" s="4" t="s">
        <v>150</v>
      </c>
    </row>
    <row r="342" customFormat="false" ht="15" hidden="false" customHeight="false" outlineLevel="0" collapsed="false">
      <c r="A342" s="4" t="s">
        <v>295</v>
      </c>
      <c r="B342" s="4" t="s">
        <v>296</v>
      </c>
      <c r="C342" s="4" t="s">
        <v>124</v>
      </c>
      <c r="D342" s="4" t="s">
        <v>153</v>
      </c>
      <c r="E342" s="4" t="s">
        <v>75</v>
      </c>
      <c r="F342" s="4" t="s">
        <v>74</v>
      </c>
      <c r="G342" s="4" t="s">
        <v>150</v>
      </c>
    </row>
    <row r="343" customFormat="false" ht="15" hidden="false" customHeight="false" outlineLevel="0" collapsed="false">
      <c r="A343" s="4" t="s">
        <v>295</v>
      </c>
      <c r="B343" s="4" t="s">
        <v>296</v>
      </c>
      <c r="C343" s="4" t="s">
        <v>124</v>
      </c>
      <c r="D343" s="4" t="s">
        <v>153</v>
      </c>
      <c r="E343" s="4" t="s">
        <v>76</v>
      </c>
      <c r="F343" s="4" t="s">
        <v>74</v>
      </c>
      <c r="G343" s="4" t="s">
        <v>150</v>
      </c>
    </row>
    <row r="344" customFormat="false" ht="15" hidden="false" customHeight="false" outlineLevel="0" collapsed="false">
      <c r="A344" s="4" t="s">
        <v>295</v>
      </c>
      <c r="B344" s="4" t="s">
        <v>296</v>
      </c>
      <c r="C344" s="4" t="s">
        <v>124</v>
      </c>
      <c r="D344" s="4" t="s">
        <v>153</v>
      </c>
      <c r="E344" s="4" t="s">
        <v>94</v>
      </c>
      <c r="F344" s="4" t="s">
        <v>95</v>
      </c>
      <c r="G344" s="4" t="s">
        <v>150</v>
      </c>
    </row>
    <row r="345" customFormat="false" ht="15" hidden="false" customHeight="false" outlineLevel="0" collapsed="false">
      <c r="A345" s="4" t="s">
        <v>295</v>
      </c>
      <c r="B345" s="4" t="s">
        <v>296</v>
      </c>
      <c r="C345" s="4" t="s">
        <v>124</v>
      </c>
      <c r="D345" s="4" t="s">
        <v>153</v>
      </c>
      <c r="E345" s="4" t="s">
        <v>99</v>
      </c>
      <c r="F345" s="4" t="s">
        <v>98</v>
      </c>
      <c r="G345" s="4" t="s">
        <v>150</v>
      </c>
    </row>
    <row r="346" customFormat="false" ht="15" hidden="false" customHeight="false" outlineLevel="0" collapsed="false">
      <c r="A346" s="4" t="s">
        <v>295</v>
      </c>
      <c r="B346" s="4" t="s">
        <v>296</v>
      </c>
      <c r="C346" s="4" t="s">
        <v>124</v>
      </c>
      <c r="D346" s="4" t="s">
        <v>153</v>
      </c>
      <c r="E346" s="4" t="s">
        <v>102</v>
      </c>
      <c r="F346" s="4" t="s">
        <v>101</v>
      </c>
      <c r="G346" s="4" t="s">
        <v>150</v>
      </c>
    </row>
    <row r="347" customFormat="false" ht="15" hidden="false" customHeight="false" outlineLevel="0" collapsed="false">
      <c r="A347" s="4" t="s">
        <v>300</v>
      </c>
      <c r="B347" s="4" t="s">
        <v>301</v>
      </c>
      <c r="C347" s="4" t="s">
        <v>124</v>
      </c>
      <c r="D347" s="4" t="s">
        <v>153</v>
      </c>
      <c r="E347" s="4" t="s">
        <v>9</v>
      </c>
      <c r="F347" s="4" t="s">
        <v>10</v>
      </c>
      <c r="G347" s="4" t="s">
        <v>433</v>
      </c>
    </row>
    <row r="348" customFormat="false" ht="15" hidden="false" customHeight="false" outlineLevel="0" collapsed="false">
      <c r="A348" s="4" t="s">
        <v>300</v>
      </c>
      <c r="B348" s="4" t="s">
        <v>301</v>
      </c>
      <c r="C348" s="4" t="s">
        <v>124</v>
      </c>
      <c r="D348" s="4" t="s">
        <v>153</v>
      </c>
      <c r="E348" s="4" t="s">
        <v>11</v>
      </c>
      <c r="F348" s="4" t="s">
        <v>10</v>
      </c>
      <c r="G348" s="4" t="s">
        <v>433</v>
      </c>
    </row>
    <row r="349" customFormat="false" ht="15" hidden="false" customHeight="false" outlineLevel="0" collapsed="false">
      <c r="A349" s="4" t="s">
        <v>300</v>
      </c>
      <c r="B349" s="4" t="s">
        <v>301</v>
      </c>
      <c r="C349" s="4" t="s">
        <v>124</v>
      </c>
      <c r="D349" s="4" t="s">
        <v>153</v>
      </c>
      <c r="E349" s="4" t="s">
        <v>12</v>
      </c>
      <c r="F349" s="4" t="s">
        <v>10</v>
      </c>
      <c r="G349" s="4" t="s">
        <v>433</v>
      </c>
    </row>
    <row r="350" customFormat="false" ht="15" hidden="false" customHeight="false" outlineLevel="0" collapsed="false">
      <c r="A350" s="4" t="s">
        <v>300</v>
      </c>
      <c r="B350" s="4" t="s">
        <v>301</v>
      </c>
      <c r="C350" s="4" t="s">
        <v>124</v>
      </c>
      <c r="D350" s="4" t="s">
        <v>153</v>
      </c>
      <c r="E350" s="4" t="s">
        <v>65</v>
      </c>
      <c r="F350" s="4" t="s">
        <v>66</v>
      </c>
      <c r="G350" s="4" t="s">
        <v>433</v>
      </c>
    </row>
    <row r="351" customFormat="false" ht="15" hidden="false" customHeight="false" outlineLevel="0" collapsed="false">
      <c r="A351" s="4" t="s">
        <v>300</v>
      </c>
      <c r="B351" s="4" t="s">
        <v>301</v>
      </c>
      <c r="C351" s="4" t="s">
        <v>124</v>
      </c>
      <c r="D351" s="4" t="s">
        <v>153</v>
      </c>
      <c r="E351" s="4" t="s">
        <v>68</v>
      </c>
      <c r="F351" s="4" t="s">
        <v>69</v>
      </c>
      <c r="G351" s="4" t="s">
        <v>432</v>
      </c>
    </row>
    <row r="352" customFormat="false" ht="15" hidden="false" customHeight="false" outlineLevel="0" collapsed="false">
      <c r="A352" s="4" t="s">
        <v>300</v>
      </c>
      <c r="B352" s="4" t="s">
        <v>301</v>
      </c>
      <c r="C352" s="4" t="s">
        <v>124</v>
      </c>
      <c r="D352" s="4" t="s">
        <v>153</v>
      </c>
      <c r="E352" s="4" t="s">
        <v>76</v>
      </c>
      <c r="F352" s="4" t="s">
        <v>74</v>
      </c>
      <c r="G352" s="4" t="s">
        <v>433</v>
      </c>
    </row>
    <row r="353" customFormat="false" ht="15" hidden="false" customHeight="false" outlineLevel="0" collapsed="false">
      <c r="A353" s="4" t="s">
        <v>300</v>
      </c>
      <c r="B353" s="4" t="s">
        <v>301</v>
      </c>
      <c r="C353" s="4" t="s">
        <v>124</v>
      </c>
      <c r="D353" s="4" t="s">
        <v>153</v>
      </c>
      <c r="E353" s="4" t="s">
        <v>81</v>
      </c>
      <c r="F353" s="4" t="s">
        <v>79</v>
      </c>
      <c r="G353" s="4" t="s">
        <v>150</v>
      </c>
    </row>
    <row r="354" customFormat="false" ht="15" hidden="false" customHeight="false" outlineLevel="0" collapsed="false">
      <c r="A354" s="4" t="s">
        <v>303</v>
      </c>
      <c r="B354" s="4" t="s">
        <v>304</v>
      </c>
      <c r="C354" s="4" t="s">
        <v>123</v>
      </c>
      <c r="D354" s="4" t="s">
        <v>153</v>
      </c>
      <c r="E354" s="4" t="s">
        <v>9</v>
      </c>
      <c r="F354" s="4" t="s">
        <v>10</v>
      </c>
      <c r="G354" s="4" t="s">
        <v>432</v>
      </c>
    </row>
    <row r="355" customFormat="false" ht="15" hidden="false" customHeight="false" outlineLevel="0" collapsed="false">
      <c r="A355" s="4" t="s">
        <v>303</v>
      </c>
      <c r="B355" s="4" t="s">
        <v>304</v>
      </c>
      <c r="C355" s="4" t="s">
        <v>123</v>
      </c>
      <c r="D355" s="4" t="s">
        <v>153</v>
      </c>
      <c r="E355" s="4" t="s">
        <v>41</v>
      </c>
      <c r="F355" s="4" t="s">
        <v>42</v>
      </c>
      <c r="G355" s="4" t="s">
        <v>150</v>
      </c>
    </row>
    <row r="356" customFormat="false" ht="15" hidden="false" customHeight="false" outlineLevel="0" collapsed="false">
      <c r="A356" s="4" t="s">
        <v>303</v>
      </c>
      <c r="B356" s="4" t="s">
        <v>304</v>
      </c>
      <c r="C356" s="4" t="s">
        <v>123</v>
      </c>
      <c r="D356" s="4" t="s">
        <v>153</v>
      </c>
      <c r="E356" s="4" t="s">
        <v>65</v>
      </c>
      <c r="F356" s="4" t="s">
        <v>66</v>
      </c>
      <c r="G356" s="4" t="s">
        <v>432</v>
      </c>
    </row>
    <row r="357" customFormat="false" ht="15" hidden="false" customHeight="false" outlineLevel="0" collapsed="false">
      <c r="A357" s="4" t="s">
        <v>303</v>
      </c>
      <c r="B357" s="4" t="s">
        <v>304</v>
      </c>
      <c r="C357" s="4" t="s">
        <v>123</v>
      </c>
      <c r="D357" s="4" t="s">
        <v>153</v>
      </c>
      <c r="E357" s="4" t="s">
        <v>68</v>
      </c>
      <c r="F357" s="4" t="s">
        <v>69</v>
      </c>
      <c r="G357" s="4" t="s">
        <v>150</v>
      </c>
    </row>
    <row r="358" customFormat="false" ht="15" hidden="false" customHeight="false" outlineLevel="0" collapsed="false">
      <c r="A358" s="4" t="s">
        <v>303</v>
      </c>
      <c r="B358" s="4" t="s">
        <v>304</v>
      </c>
      <c r="C358" s="4" t="s">
        <v>123</v>
      </c>
      <c r="D358" s="4" t="s">
        <v>153</v>
      </c>
      <c r="E358" s="4" t="s">
        <v>75</v>
      </c>
      <c r="F358" s="4" t="s">
        <v>74</v>
      </c>
      <c r="G358" s="4" t="s">
        <v>432</v>
      </c>
    </row>
    <row r="359" customFormat="false" ht="15" hidden="false" customHeight="false" outlineLevel="0" collapsed="false">
      <c r="A359" s="4" t="s">
        <v>303</v>
      </c>
      <c r="B359" s="4" t="s">
        <v>304</v>
      </c>
      <c r="C359" s="4" t="s">
        <v>123</v>
      </c>
      <c r="D359" s="4" t="s">
        <v>153</v>
      </c>
      <c r="E359" s="4" t="s">
        <v>100</v>
      </c>
      <c r="F359" s="4" t="s">
        <v>101</v>
      </c>
      <c r="G359" s="4" t="s">
        <v>432</v>
      </c>
    </row>
    <row r="360" customFormat="false" ht="15" hidden="false" customHeight="false" outlineLevel="0" collapsed="false">
      <c r="A360" s="4" t="s">
        <v>306</v>
      </c>
      <c r="B360" s="4" t="s">
        <v>307</v>
      </c>
      <c r="C360" s="4" t="s">
        <v>124</v>
      </c>
      <c r="D360" s="4" t="s">
        <v>153</v>
      </c>
      <c r="E360" s="4" t="s">
        <v>108</v>
      </c>
      <c r="F360" s="4" t="s">
        <v>107</v>
      </c>
      <c r="G360" s="4" t="s">
        <v>432</v>
      </c>
    </row>
    <row r="361" customFormat="false" ht="15" hidden="false" customHeight="false" outlineLevel="0" collapsed="false">
      <c r="A361" s="4" t="s">
        <v>308</v>
      </c>
      <c r="B361" s="4" t="s">
        <v>309</v>
      </c>
      <c r="C361" s="4" t="s">
        <v>125</v>
      </c>
      <c r="D361" s="4" t="s">
        <v>153</v>
      </c>
      <c r="E361" s="4" t="s">
        <v>68</v>
      </c>
      <c r="F361" s="4" t="s">
        <v>69</v>
      </c>
      <c r="G361" s="4" t="s">
        <v>150</v>
      </c>
    </row>
    <row r="362" customFormat="false" ht="15" hidden="false" customHeight="false" outlineLevel="0" collapsed="false">
      <c r="A362" s="4" t="s">
        <v>308</v>
      </c>
      <c r="B362" s="4" t="s">
        <v>309</v>
      </c>
      <c r="C362" s="4" t="s">
        <v>125</v>
      </c>
      <c r="D362" s="4" t="s">
        <v>153</v>
      </c>
      <c r="E362" s="4" t="s">
        <v>70</v>
      </c>
      <c r="F362" s="4" t="s">
        <v>69</v>
      </c>
      <c r="G362" s="4" t="s">
        <v>150</v>
      </c>
    </row>
    <row r="363" customFormat="false" ht="15" hidden="false" customHeight="false" outlineLevel="0" collapsed="false">
      <c r="A363" s="4" t="s">
        <v>308</v>
      </c>
      <c r="B363" s="4" t="s">
        <v>309</v>
      </c>
      <c r="C363" s="4" t="s">
        <v>125</v>
      </c>
      <c r="D363" s="4" t="s">
        <v>153</v>
      </c>
      <c r="E363" s="4" t="s">
        <v>76</v>
      </c>
      <c r="F363" s="4" t="s">
        <v>74</v>
      </c>
      <c r="G363" s="4" t="s">
        <v>150</v>
      </c>
    </row>
    <row r="364" customFormat="false" ht="15" hidden="false" customHeight="false" outlineLevel="0" collapsed="false">
      <c r="A364" s="4" t="s">
        <v>312</v>
      </c>
      <c r="B364" s="4" t="s">
        <v>313</v>
      </c>
      <c r="C364" s="4" t="s">
        <v>125</v>
      </c>
      <c r="D364" s="4" t="s">
        <v>153</v>
      </c>
      <c r="E364" s="4" t="s">
        <v>9</v>
      </c>
      <c r="F364" s="4" t="s">
        <v>10</v>
      </c>
      <c r="G364" s="4" t="s">
        <v>433</v>
      </c>
    </row>
    <row r="365" customFormat="false" ht="15" hidden="false" customHeight="false" outlineLevel="0" collapsed="false">
      <c r="A365" s="4" t="s">
        <v>312</v>
      </c>
      <c r="B365" s="4" t="s">
        <v>313</v>
      </c>
      <c r="C365" s="4" t="s">
        <v>125</v>
      </c>
      <c r="D365" s="4" t="s">
        <v>153</v>
      </c>
      <c r="E365" s="4" t="s">
        <v>19</v>
      </c>
      <c r="F365" s="4" t="s">
        <v>20</v>
      </c>
      <c r="G365" s="4" t="s">
        <v>433</v>
      </c>
    </row>
    <row r="366" customFormat="false" ht="15" hidden="false" customHeight="false" outlineLevel="0" collapsed="false">
      <c r="A366" s="4" t="s">
        <v>312</v>
      </c>
      <c r="B366" s="4" t="s">
        <v>313</v>
      </c>
      <c r="C366" s="4" t="s">
        <v>125</v>
      </c>
      <c r="D366" s="4" t="s">
        <v>153</v>
      </c>
      <c r="E366" s="4" t="s">
        <v>22</v>
      </c>
      <c r="F366" s="4" t="s">
        <v>20</v>
      </c>
      <c r="G366" s="4" t="s">
        <v>433</v>
      </c>
    </row>
    <row r="367" customFormat="false" ht="15" hidden="false" customHeight="false" outlineLevel="0" collapsed="false">
      <c r="A367" s="4" t="s">
        <v>312</v>
      </c>
      <c r="B367" s="4" t="s">
        <v>313</v>
      </c>
      <c r="C367" s="4" t="s">
        <v>125</v>
      </c>
      <c r="D367" s="4" t="s">
        <v>153</v>
      </c>
      <c r="E367" s="4" t="s">
        <v>24</v>
      </c>
      <c r="F367" s="4" t="s">
        <v>25</v>
      </c>
      <c r="G367" s="4" t="s">
        <v>150</v>
      </c>
    </row>
    <row r="368" customFormat="false" ht="15" hidden="false" customHeight="false" outlineLevel="0" collapsed="false">
      <c r="A368" s="4" t="s">
        <v>312</v>
      </c>
      <c r="B368" s="4" t="s">
        <v>313</v>
      </c>
      <c r="C368" s="4" t="s">
        <v>125</v>
      </c>
      <c r="D368" s="4" t="s">
        <v>153</v>
      </c>
      <c r="E368" s="4" t="s">
        <v>27</v>
      </c>
      <c r="F368" s="4" t="s">
        <v>28</v>
      </c>
      <c r="G368" s="4" t="s">
        <v>150</v>
      </c>
    </row>
    <row r="369" customFormat="false" ht="15" hidden="false" customHeight="false" outlineLevel="0" collapsed="false">
      <c r="A369" s="4" t="s">
        <v>312</v>
      </c>
      <c r="B369" s="4" t="s">
        <v>313</v>
      </c>
      <c r="C369" s="4" t="s">
        <v>125</v>
      </c>
      <c r="D369" s="4" t="s">
        <v>153</v>
      </c>
      <c r="E369" s="4" t="s">
        <v>41</v>
      </c>
      <c r="F369" s="4" t="s">
        <v>42</v>
      </c>
      <c r="G369" s="4" t="s">
        <v>150</v>
      </c>
    </row>
    <row r="370" customFormat="false" ht="15" hidden="false" customHeight="false" outlineLevel="0" collapsed="false">
      <c r="A370" s="4" t="s">
        <v>312</v>
      </c>
      <c r="B370" s="4" t="s">
        <v>313</v>
      </c>
      <c r="C370" s="4" t="s">
        <v>125</v>
      </c>
      <c r="D370" s="4" t="s">
        <v>153</v>
      </c>
      <c r="E370" s="4" t="s">
        <v>50</v>
      </c>
      <c r="F370" s="4" t="s">
        <v>44</v>
      </c>
      <c r="G370" s="4" t="s">
        <v>433</v>
      </c>
    </row>
    <row r="371" customFormat="false" ht="15" hidden="false" customHeight="false" outlineLevel="0" collapsed="false">
      <c r="A371" s="4" t="s">
        <v>312</v>
      </c>
      <c r="B371" s="4" t="s">
        <v>313</v>
      </c>
      <c r="C371" s="4" t="s">
        <v>125</v>
      </c>
      <c r="D371" s="4" t="s">
        <v>153</v>
      </c>
      <c r="E371" s="4" t="s">
        <v>51</v>
      </c>
      <c r="F371" s="4" t="s">
        <v>44</v>
      </c>
      <c r="G371" s="4" t="s">
        <v>433</v>
      </c>
    </row>
    <row r="372" customFormat="false" ht="15" hidden="false" customHeight="false" outlineLevel="0" collapsed="false">
      <c r="A372" s="4" t="s">
        <v>312</v>
      </c>
      <c r="B372" s="4" t="s">
        <v>313</v>
      </c>
      <c r="C372" s="4" t="s">
        <v>125</v>
      </c>
      <c r="D372" s="4" t="s">
        <v>153</v>
      </c>
      <c r="E372" s="4" t="s">
        <v>61</v>
      </c>
      <c r="F372" s="4" t="s">
        <v>57</v>
      </c>
      <c r="G372" s="4" t="s">
        <v>433</v>
      </c>
    </row>
    <row r="373" customFormat="false" ht="15" hidden="false" customHeight="false" outlineLevel="0" collapsed="false">
      <c r="A373" s="4" t="s">
        <v>312</v>
      </c>
      <c r="B373" s="4" t="s">
        <v>313</v>
      </c>
      <c r="C373" s="4" t="s">
        <v>125</v>
      </c>
      <c r="D373" s="4" t="s">
        <v>153</v>
      </c>
      <c r="E373" s="4" t="s">
        <v>67</v>
      </c>
      <c r="F373" s="4" t="s">
        <v>66</v>
      </c>
      <c r="G373" s="4" t="s">
        <v>150</v>
      </c>
    </row>
    <row r="374" customFormat="false" ht="15" hidden="false" customHeight="false" outlineLevel="0" collapsed="false">
      <c r="A374" s="4" t="s">
        <v>312</v>
      </c>
      <c r="B374" s="4" t="s">
        <v>313</v>
      </c>
      <c r="C374" s="4" t="s">
        <v>125</v>
      </c>
      <c r="D374" s="4" t="s">
        <v>153</v>
      </c>
      <c r="E374" s="4" t="s">
        <v>68</v>
      </c>
      <c r="F374" s="4" t="s">
        <v>69</v>
      </c>
      <c r="G374" s="4" t="s">
        <v>432</v>
      </c>
    </row>
    <row r="375" customFormat="false" ht="15" hidden="false" customHeight="false" outlineLevel="0" collapsed="false">
      <c r="A375" s="4" t="s">
        <v>312</v>
      </c>
      <c r="B375" s="4" t="s">
        <v>313</v>
      </c>
      <c r="C375" s="4" t="s">
        <v>125</v>
      </c>
      <c r="D375" s="4" t="s">
        <v>153</v>
      </c>
      <c r="E375" s="4" t="s">
        <v>70</v>
      </c>
      <c r="F375" s="4" t="s">
        <v>69</v>
      </c>
      <c r="G375" s="4" t="s">
        <v>432</v>
      </c>
    </row>
    <row r="376" customFormat="false" ht="15" hidden="false" customHeight="false" outlineLevel="0" collapsed="false">
      <c r="A376" s="4" t="s">
        <v>312</v>
      </c>
      <c r="B376" s="4" t="s">
        <v>313</v>
      </c>
      <c r="C376" s="4" t="s">
        <v>125</v>
      </c>
      <c r="D376" s="4" t="s">
        <v>153</v>
      </c>
      <c r="E376" s="4" t="s">
        <v>76</v>
      </c>
      <c r="F376" s="4" t="s">
        <v>74</v>
      </c>
      <c r="G376" s="4" t="s">
        <v>150</v>
      </c>
    </row>
    <row r="377" customFormat="false" ht="15" hidden="false" customHeight="false" outlineLevel="0" collapsed="false">
      <c r="A377" s="4" t="s">
        <v>312</v>
      </c>
      <c r="B377" s="4" t="s">
        <v>313</v>
      </c>
      <c r="C377" s="4" t="s">
        <v>125</v>
      </c>
      <c r="D377" s="4" t="s">
        <v>153</v>
      </c>
      <c r="E377" s="4" t="s">
        <v>94</v>
      </c>
      <c r="F377" s="4" t="s">
        <v>95</v>
      </c>
      <c r="G377" s="4" t="s">
        <v>150</v>
      </c>
    </row>
    <row r="378" customFormat="false" ht="15" hidden="false" customHeight="false" outlineLevel="0" collapsed="false">
      <c r="A378" s="4" t="s">
        <v>312</v>
      </c>
      <c r="B378" s="4" t="s">
        <v>313</v>
      </c>
      <c r="C378" s="4" t="s">
        <v>125</v>
      </c>
      <c r="D378" s="4" t="s">
        <v>153</v>
      </c>
      <c r="E378" s="4" t="s">
        <v>105</v>
      </c>
      <c r="F378" s="4" t="s">
        <v>101</v>
      </c>
      <c r="G378" s="4" t="s">
        <v>150</v>
      </c>
    </row>
    <row r="379" customFormat="false" ht="15" hidden="false" customHeight="false" outlineLevel="0" collapsed="false">
      <c r="A379" s="4" t="s">
        <v>315</v>
      </c>
      <c r="B379" s="4" t="s">
        <v>316</v>
      </c>
      <c r="C379" s="4" t="s">
        <v>125</v>
      </c>
      <c r="D379" s="4" t="s">
        <v>153</v>
      </c>
      <c r="E379" s="4" t="s">
        <v>9</v>
      </c>
      <c r="F379" s="4" t="s">
        <v>10</v>
      </c>
      <c r="G379" s="4" t="s">
        <v>150</v>
      </c>
    </row>
    <row r="380" customFormat="false" ht="15" hidden="false" customHeight="false" outlineLevel="0" collapsed="false">
      <c r="A380" s="4" t="s">
        <v>315</v>
      </c>
      <c r="B380" s="4" t="s">
        <v>316</v>
      </c>
      <c r="C380" s="4" t="s">
        <v>125</v>
      </c>
      <c r="D380" s="4" t="s">
        <v>153</v>
      </c>
      <c r="E380" s="4" t="s">
        <v>11</v>
      </c>
      <c r="F380" s="4" t="s">
        <v>10</v>
      </c>
      <c r="G380" s="4" t="s">
        <v>150</v>
      </c>
    </row>
    <row r="381" customFormat="false" ht="15" hidden="false" customHeight="false" outlineLevel="0" collapsed="false">
      <c r="A381" s="4" t="s">
        <v>315</v>
      </c>
      <c r="B381" s="4" t="s">
        <v>316</v>
      </c>
      <c r="C381" s="4" t="s">
        <v>125</v>
      </c>
      <c r="D381" s="4" t="s">
        <v>153</v>
      </c>
      <c r="E381" s="4" t="s">
        <v>12</v>
      </c>
      <c r="F381" s="4" t="s">
        <v>10</v>
      </c>
      <c r="G381" s="4" t="s">
        <v>150</v>
      </c>
    </row>
    <row r="382" customFormat="false" ht="15" hidden="false" customHeight="false" outlineLevel="0" collapsed="false">
      <c r="A382" s="4" t="s">
        <v>315</v>
      </c>
      <c r="B382" s="4" t="s">
        <v>316</v>
      </c>
      <c r="C382" s="4" t="s">
        <v>125</v>
      </c>
      <c r="D382" s="4" t="s">
        <v>153</v>
      </c>
      <c r="E382" s="4" t="s">
        <v>16</v>
      </c>
      <c r="F382" s="4" t="s">
        <v>10</v>
      </c>
      <c r="G382" s="4" t="s">
        <v>150</v>
      </c>
    </row>
    <row r="383" customFormat="false" ht="15" hidden="false" customHeight="false" outlineLevel="0" collapsed="false">
      <c r="A383" s="4" t="s">
        <v>315</v>
      </c>
      <c r="B383" s="4" t="s">
        <v>316</v>
      </c>
      <c r="C383" s="4" t="s">
        <v>125</v>
      </c>
      <c r="D383" s="4" t="s">
        <v>153</v>
      </c>
      <c r="E383" s="4" t="s">
        <v>17</v>
      </c>
      <c r="F383" s="4" t="s">
        <v>10</v>
      </c>
      <c r="G383" s="4" t="s">
        <v>150</v>
      </c>
    </row>
    <row r="384" customFormat="false" ht="15" hidden="false" customHeight="false" outlineLevel="0" collapsed="false">
      <c r="A384" s="4" t="s">
        <v>315</v>
      </c>
      <c r="B384" s="4" t="s">
        <v>316</v>
      </c>
      <c r="C384" s="4" t="s">
        <v>125</v>
      </c>
      <c r="D384" s="4" t="s">
        <v>153</v>
      </c>
      <c r="E384" s="4" t="s">
        <v>27</v>
      </c>
      <c r="F384" s="4" t="s">
        <v>28</v>
      </c>
      <c r="G384" s="4" t="s">
        <v>150</v>
      </c>
    </row>
    <row r="385" customFormat="false" ht="15" hidden="false" customHeight="false" outlineLevel="0" collapsed="false">
      <c r="A385" s="4" t="s">
        <v>315</v>
      </c>
      <c r="B385" s="4" t="s">
        <v>316</v>
      </c>
      <c r="C385" s="4" t="s">
        <v>125</v>
      </c>
      <c r="D385" s="4" t="s">
        <v>153</v>
      </c>
      <c r="E385" s="4" t="s">
        <v>41</v>
      </c>
      <c r="F385" s="4" t="s">
        <v>42</v>
      </c>
      <c r="G385" s="4" t="s">
        <v>150</v>
      </c>
    </row>
    <row r="386" customFormat="false" ht="15" hidden="false" customHeight="false" outlineLevel="0" collapsed="false">
      <c r="A386" s="4" t="s">
        <v>315</v>
      </c>
      <c r="B386" s="4" t="s">
        <v>316</v>
      </c>
      <c r="C386" s="4" t="s">
        <v>125</v>
      </c>
      <c r="D386" s="4" t="s">
        <v>153</v>
      </c>
      <c r="E386" s="4" t="s">
        <v>62</v>
      </c>
      <c r="F386" s="4" t="s">
        <v>63</v>
      </c>
      <c r="G386" s="4" t="s">
        <v>150</v>
      </c>
    </row>
    <row r="387" customFormat="false" ht="15" hidden="false" customHeight="false" outlineLevel="0" collapsed="false">
      <c r="A387" s="4" t="s">
        <v>315</v>
      </c>
      <c r="B387" s="4" t="s">
        <v>316</v>
      </c>
      <c r="C387" s="4" t="s">
        <v>125</v>
      </c>
      <c r="D387" s="4" t="s">
        <v>153</v>
      </c>
      <c r="E387" s="4" t="s">
        <v>65</v>
      </c>
      <c r="F387" s="4" t="s">
        <v>66</v>
      </c>
      <c r="G387" s="4" t="s">
        <v>150</v>
      </c>
    </row>
    <row r="388" customFormat="false" ht="15" hidden="false" customHeight="false" outlineLevel="0" collapsed="false">
      <c r="A388" s="4" t="s">
        <v>315</v>
      </c>
      <c r="B388" s="4" t="s">
        <v>316</v>
      </c>
      <c r="C388" s="4" t="s">
        <v>125</v>
      </c>
      <c r="D388" s="4" t="s">
        <v>153</v>
      </c>
      <c r="E388" s="4" t="s">
        <v>68</v>
      </c>
      <c r="F388" s="4" t="s">
        <v>69</v>
      </c>
      <c r="G388" s="4" t="s">
        <v>150</v>
      </c>
    </row>
    <row r="389" customFormat="false" ht="15" hidden="false" customHeight="false" outlineLevel="0" collapsed="false">
      <c r="A389" s="4" t="s">
        <v>315</v>
      </c>
      <c r="B389" s="4" t="s">
        <v>316</v>
      </c>
      <c r="C389" s="4" t="s">
        <v>125</v>
      </c>
      <c r="D389" s="4" t="s">
        <v>153</v>
      </c>
      <c r="E389" s="4" t="s">
        <v>75</v>
      </c>
      <c r="F389" s="4" t="s">
        <v>74</v>
      </c>
      <c r="G389" s="4" t="s">
        <v>150</v>
      </c>
    </row>
    <row r="390" customFormat="false" ht="15" hidden="false" customHeight="false" outlineLevel="0" collapsed="false">
      <c r="A390" s="4" t="s">
        <v>315</v>
      </c>
      <c r="B390" s="4" t="s">
        <v>316</v>
      </c>
      <c r="C390" s="4" t="s">
        <v>125</v>
      </c>
      <c r="D390" s="4" t="s">
        <v>153</v>
      </c>
      <c r="E390" s="4" t="s">
        <v>84</v>
      </c>
      <c r="F390" s="4" t="s">
        <v>79</v>
      </c>
      <c r="G390" s="4" t="s">
        <v>150</v>
      </c>
    </row>
    <row r="391" customFormat="false" ht="15" hidden="false" customHeight="false" outlineLevel="0" collapsed="false">
      <c r="A391" s="4" t="s">
        <v>319</v>
      </c>
      <c r="B391" s="4" t="s">
        <v>320</v>
      </c>
      <c r="C391" s="4" t="s">
        <v>125</v>
      </c>
      <c r="D391" s="4" t="s">
        <v>153</v>
      </c>
      <c r="E391" s="4" t="s">
        <v>9</v>
      </c>
      <c r="F391" s="4" t="s">
        <v>10</v>
      </c>
      <c r="G391" s="4" t="s">
        <v>150</v>
      </c>
    </row>
    <row r="392" customFormat="false" ht="15" hidden="false" customHeight="false" outlineLevel="0" collapsed="false">
      <c r="A392" s="4" t="s">
        <v>319</v>
      </c>
      <c r="B392" s="4" t="s">
        <v>320</v>
      </c>
      <c r="C392" s="4" t="s">
        <v>125</v>
      </c>
      <c r="D392" s="4" t="s">
        <v>153</v>
      </c>
      <c r="E392" s="4" t="s">
        <v>11</v>
      </c>
      <c r="F392" s="4" t="s">
        <v>10</v>
      </c>
      <c r="G392" s="4" t="s">
        <v>432</v>
      </c>
    </row>
    <row r="393" customFormat="false" ht="15" hidden="false" customHeight="false" outlineLevel="0" collapsed="false">
      <c r="A393" s="4" t="s">
        <v>319</v>
      </c>
      <c r="B393" s="4" t="s">
        <v>320</v>
      </c>
      <c r="C393" s="4" t="s">
        <v>125</v>
      </c>
      <c r="D393" s="4" t="s">
        <v>153</v>
      </c>
      <c r="E393" s="4" t="s">
        <v>12</v>
      </c>
      <c r="F393" s="4" t="s">
        <v>10</v>
      </c>
      <c r="G393" s="4" t="s">
        <v>150</v>
      </c>
    </row>
    <row r="394" customFormat="false" ht="15" hidden="false" customHeight="false" outlineLevel="0" collapsed="false">
      <c r="A394" s="4" t="s">
        <v>319</v>
      </c>
      <c r="B394" s="4" t="s">
        <v>320</v>
      </c>
      <c r="C394" s="4" t="s">
        <v>125</v>
      </c>
      <c r="D394" s="4" t="s">
        <v>153</v>
      </c>
      <c r="E394" s="4" t="s">
        <v>13</v>
      </c>
      <c r="F394" s="4" t="s">
        <v>10</v>
      </c>
      <c r="G394" s="4" t="s">
        <v>150</v>
      </c>
    </row>
    <row r="395" customFormat="false" ht="15" hidden="false" customHeight="false" outlineLevel="0" collapsed="false">
      <c r="A395" s="4" t="s">
        <v>319</v>
      </c>
      <c r="B395" s="4" t="s">
        <v>320</v>
      </c>
      <c r="C395" s="4" t="s">
        <v>125</v>
      </c>
      <c r="D395" s="4" t="s">
        <v>153</v>
      </c>
      <c r="E395" s="4" t="s">
        <v>27</v>
      </c>
      <c r="F395" s="4" t="s">
        <v>28</v>
      </c>
      <c r="G395" s="4" t="s">
        <v>150</v>
      </c>
    </row>
    <row r="396" customFormat="false" ht="15" hidden="false" customHeight="false" outlineLevel="0" collapsed="false">
      <c r="A396" s="4" t="s">
        <v>319</v>
      </c>
      <c r="B396" s="4" t="s">
        <v>320</v>
      </c>
      <c r="C396" s="4" t="s">
        <v>125</v>
      </c>
      <c r="D396" s="4" t="s">
        <v>153</v>
      </c>
      <c r="E396" s="4" t="s">
        <v>41</v>
      </c>
      <c r="F396" s="4" t="s">
        <v>42</v>
      </c>
      <c r="G396" s="4" t="s">
        <v>150</v>
      </c>
    </row>
    <row r="397" customFormat="false" ht="15" hidden="false" customHeight="false" outlineLevel="0" collapsed="false">
      <c r="A397" s="4" t="s">
        <v>319</v>
      </c>
      <c r="B397" s="4" t="s">
        <v>320</v>
      </c>
      <c r="C397" s="4" t="s">
        <v>125</v>
      </c>
      <c r="D397" s="4" t="s">
        <v>153</v>
      </c>
      <c r="E397" s="4" t="s">
        <v>65</v>
      </c>
      <c r="F397" s="4" t="s">
        <v>66</v>
      </c>
      <c r="G397" s="4" t="s">
        <v>432</v>
      </c>
    </row>
    <row r="398" customFormat="false" ht="15" hidden="false" customHeight="false" outlineLevel="0" collapsed="false">
      <c r="A398" s="4" t="s">
        <v>319</v>
      </c>
      <c r="B398" s="4" t="s">
        <v>320</v>
      </c>
      <c r="C398" s="4" t="s">
        <v>125</v>
      </c>
      <c r="D398" s="4" t="s">
        <v>153</v>
      </c>
      <c r="E398" s="4" t="s">
        <v>68</v>
      </c>
      <c r="F398" s="4" t="s">
        <v>69</v>
      </c>
      <c r="G398" s="4" t="s">
        <v>150</v>
      </c>
    </row>
    <row r="399" customFormat="false" ht="15" hidden="false" customHeight="false" outlineLevel="0" collapsed="false">
      <c r="A399" s="4" t="s">
        <v>319</v>
      </c>
      <c r="B399" s="4" t="s">
        <v>320</v>
      </c>
      <c r="C399" s="4" t="s">
        <v>125</v>
      </c>
      <c r="D399" s="4" t="s">
        <v>153</v>
      </c>
      <c r="E399" s="4" t="s">
        <v>86</v>
      </c>
      <c r="F399" s="4" t="s">
        <v>79</v>
      </c>
      <c r="G399" s="4" t="s">
        <v>150</v>
      </c>
    </row>
    <row r="400" customFormat="false" ht="15" hidden="false" customHeight="false" outlineLevel="0" collapsed="false">
      <c r="A400" s="4" t="s">
        <v>319</v>
      </c>
      <c r="B400" s="4" t="s">
        <v>320</v>
      </c>
      <c r="C400" s="4" t="s">
        <v>125</v>
      </c>
      <c r="D400" s="4" t="s">
        <v>153</v>
      </c>
      <c r="E400" s="4" t="s">
        <v>99</v>
      </c>
      <c r="F400" s="4" t="s">
        <v>98</v>
      </c>
      <c r="G400" s="4" t="s">
        <v>150</v>
      </c>
    </row>
    <row r="401" customFormat="false" ht="15" hidden="false" customHeight="false" outlineLevel="0" collapsed="false">
      <c r="A401" s="4" t="s">
        <v>319</v>
      </c>
      <c r="B401" s="4" t="s">
        <v>320</v>
      </c>
      <c r="C401" s="4" t="s">
        <v>125</v>
      </c>
      <c r="D401" s="4" t="s">
        <v>153</v>
      </c>
      <c r="E401" s="4" t="s">
        <v>102</v>
      </c>
      <c r="F401" s="4" t="s">
        <v>101</v>
      </c>
      <c r="G401" s="4" t="s">
        <v>150</v>
      </c>
    </row>
    <row r="402" customFormat="false" ht="15" hidden="false" customHeight="false" outlineLevel="0" collapsed="false">
      <c r="A402" s="4" t="s">
        <v>319</v>
      </c>
      <c r="B402" s="4" t="s">
        <v>320</v>
      </c>
      <c r="C402" s="4" t="s">
        <v>125</v>
      </c>
      <c r="D402" s="4" t="s">
        <v>153</v>
      </c>
      <c r="E402" s="4" t="s">
        <v>104</v>
      </c>
      <c r="F402" s="4" t="s">
        <v>101</v>
      </c>
      <c r="G402" s="4" t="s">
        <v>433</v>
      </c>
    </row>
    <row r="403" customFormat="false" ht="15" hidden="false" customHeight="false" outlineLevel="0" collapsed="false">
      <c r="A403" s="4" t="s">
        <v>319</v>
      </c>
      <c r="B403" s="4" t="s">
        <v>320</v>
      </c>
      <c r="C403" s="4" t="s">
        <v>125</v>
      </c>
      <c r="D403" s="4" t="s">
        <v>153</v>
      </c>
      <c r="E403" s="4" t="s">
        <v>108</v>
      </c>
      <c r="F403" s="4" t="s">
        <v>107</v>
      </c>
      <c r="G403" s="4" t="s">
        <v>432</v>
      </c>
    </row>
    <row r="404" customFormat="false" ht="15" hidden="false" customHeight="false" outlineLevel="0" collapsed="false">
      <c r="A404" s="4" t="s">
        <v>322</v>
      </c>
      <c r="B404" s="4" t="s">
        <v>323</v>
      </c>
      <c r="C404" s="4" t="s">
        <v>125</v>
      </c>
      <c r="D404" s="4" t="s">
        <v>153</v>
      </c>
      <c r="E404" s="4" t="s">
        <v>9</v>
      </c>
      <c r="F404" s="4" t="s">
        <v>10</v>
      </c>
      <c r="G404" s="4" t="s">
        <v>432</v>
      </c>
    </row>
    <row r="405" customFormat="false" ht="15" hidden="false" customHeight="false" outlineLevel="0" collapsed="false">
      <c r="A405" s="4" t="s">
        <v>322</v>
      </c>
      <c r="B405" s="4" t="s">
        <v>323</v>
      </c>
      <c r="C405" s="4" t="s">
        <v>125</v>
      </c>
      <c r="D405" s="4" t="s">
        <v>153</v>
      </c>
      <c r="E405" s="4" t="s">
        <v>22</v>
      </c>
      <c r="F405" s="4" t="s">
        <v>20</v>
      </c>
      <c r="G405" s="4" t="s">
        <v>433</v>
      </c>
    </row>
    <row r="406" customFormat="false" ht="15" hidden="false" customHeight="false" outlineLevel="0" collapsed="false">
      <c r="A406" s="4" t="s">
        <v>322</v>
      </c>
      <c r="B406" s="4" t="s">
        <v>323</v>
      </c>
      <c r="C406" s="4" t="s">
        <v>125</v>
      </c>
      <c r="D406" s="4" t="s">
        <v>153</v>
      </c>
      <c r="E406" s="4" t="s">
        <v>41</v>
      </c>
      <c r="F406" s="4" t="s">
        <v>42</v>
      </c>
      <c r="G406" s="4" t="s">
        <v>150</v>
      </c>
    </row>
    <row r="407" customFormat="false" ht="15" hidden="false" customHeight="false" outlineLevel="0" collapsed="false">
      <c r="A407" s="4" t="s">
        <v>322</v>
      </c>
      <c r="B407" s="4" t="s">
        <v>323</v>
      </c>
      <c r="C407" s="4" t="s">
        <v>125</v>
      </c>
      <c r="D407" s="4" t="s">
        <v>153</v>
      </c>
      <c r="E407" s="4" t="s">
        <v>65</v>
      </c>
      <c r="F407" s="4" t="s">
        <v>66</v>
      </c>
      <c r="G407" s="4" t="s">
        <v>150</v>
      </c>
    </row>
    <row r="408" customFormat="false" ht="15" hidden="false" customHeight="false" outlineLevel="0" collapsed="false">
      <c r="A408" s="4" t="s">
        <v>322</v>
      </c>
      <c r="B408" s="4" t="s">
        <v>323</v>
      </c>
      <c r="C408" s="4" t="s">
        <v>125</v>
      </c>
      <c r="D408" s="4" t="s">
        <v>153</v>
      </c>
      <c r="E408" s="4" t="s">
        <v>68</v>
      </c>
      <c r="F408" s="4" t="s">
        <v>69</v>
      </c>
      <c r="G408" s="4" t="s">
        <v>150</v>
      </c>
    </row>
    <row r="409" customFormat="false" ht="15" hidden="false" customHeight="false" outlineLevel="0" collapsed="false">
      <c r="A409" s="4" t="s">
        <v>324</v>
      </c>
      <c r="B409" s="4" t="s">
        <v>325</v>
      </c>
      <c r="C409" s="4" t="s">
        <v>125</v>
      </c>
      <c r="D409" s="4" t="s">
        <v>153</v>
      </c>
      <c r="E409" s="4" t="s">
        <v>9</v>
      </c>
      <c r="F409" s="4" t="s">
        <v>10</v>
      </c>
      <c r="G409" s="4" t="s">
        <v>150</v>
      </c>
    </row>
    <row r="410" customFormat="false" ht="15" hidden="false" customHeight="false" outlineLevel="0" collapsed="false">
      <c r="A410" s="4" t="s">
        <v>324</v>
      </c>
      <c r="B410" s="4" t="s">
        <v>325</v>
      </c>
      <c r="C410" s="4" t="s">
        <v>125</v>
      </c>
      <c r="D410" s="4" t="s">
        <v>153</v>
      </c>
      <c r="E410" s="4" t="s">
        <v>11</v>
      </c>
      <c r="F410" s="4" t="s">
        <v>10</v>
      </c>
      <c r="G410" s="4" t="s">
        <v>150</v>
      </c>
    </row>
    <row r="411" customFormat="false" ht="15" hidden="false" customHeight="false" outlineLevel="0" collapsed="false">
      <c r="A411" s="4" t="s">
        <v>324</v>
      </c>
      <c r="B411" s="4" t="s">
        <v>325</v>
      </c>
      <c r="C411" s="4" t="s">
        <v>125</v>
      </c>
      <c r="D411" s="4" t="s">
        <v>153</v>
      </c>
      <c r="E411" s="4" t="s">
        <v>12</v>
      </c>
      <c r="F411" s="4" t="s">
        <v>10</v>
      </c>
      <c r="G411" s="4" t="s">
        <v>150</v>
      </c>
    </row>
    <row r="412" customFormat="false" ht="15" hidden="false" customHeight="false" outlineLevel="0" collapsed="false">
      <c r="A412" s="4" t="s">
        <v>324</v>
      </c>
      <c r="B412" s="4" t="s">
        <v>325</v>
      </c>
      <c r="C412" s="4" t="s">
        <v>125</v>
      </c>
      <c r="D412" s="4" t="s">
        <v>153</v>
      </c>
      <c r="E412" s="4" t="s">
        <v>21</v>
      </c>
      <c r="F412" s="4" t="s">
        <v>20</v>
      </c>
      <c r="G412" s="4" t="s">
        <v>150</v>
      </c>
    </row>
    <row r="413" customFormat="false" ht="15" hidden="false" customHeight="false" outlineLevel="0" collapsed="false">
      <c r="A413" s="4" t="s">
        <v>324</v>
      </c>
      <c r="B413" s="4" t="s">
        <v>325</v>
      </c>
      <c r="C413" s="4" t="s">
        <v>125</v>
      </c>
      <c r="D413" s="4" t="s">
        <v>153</v>
      </c>
      <c r="E413" s="4" t="s">
        <v>32</v>
      </c>
      <c r="F413" s="4" t="s">
        <v>28</v>
      </c>
      <c r="G413" s="4" t="s">
        <v>432</v>
      </c>
    </row>
    <row r="414" customFormat="false" ht="15" hidden="false" customHeight="false" outlineLevel="0" collapsed="false">
      <c r="A414" s="4" t="s">
        <v>324</v>
      </c>
      <c r="B414" s="4" t="s">
        <v>325</v>
      </c>
      <c r="C414" s="4" t="s">
        <v>125</v>
      </c>
      <c r="D414" s="4" t="s">
        <v>153</v>
      </c>
      <c r="E414" s="4" t="s">
        <v>41</v>
      </c>
      <c r="F414" s="4" t="s">
        <v>42</v>
      </c>
      <c r="G414" s="4" t="s">
        <v>150</v>
      </c>
    </row>
    <row r="415" customFormat="false" ht="15" hidden="false" customHeight="false" outlineLevel="0" collapsed="false">
      <c r="A415" s="4" t="s">
        <v>324</v>
      </c>
      <c r="B415" s="4" t="s">
        <v>325</v>
      </c>
      <c r="C415" s="4" t="s">
        <v>125</v>
      </c>
      <c r="D415" s="4" t="s">
        <v>153</v>
      </c>
      <c r="E415" s="4" t="s">
        <v>43</v>
      </c>
      <c r="F415" s="4" t="s">
        <v>44</v>
      </c>
      <c r="G415" s="4" t="s">
        <v>150</v>
      </c>
    </row>
    <row r="416" customFormat="false" ht="15" hidden="false" customHeight="false" outlineLevel="0" collapsed="false">
      <c r="A416" s="4" t="s">
        <v>324</v>
      </c>
      <c r="B416" s="4" t="s">
        <v>325</v>
      </c>
      <c r="C416" s="4" t="s">
        <v>125</v>
      </c>
      <c r="D416" s="4" t="s">
        <v>153</v>
      </c>
      <c r="E416" s="4" t="s">
        <v>65</v>
      </c>
      <c r="F416" s="4" t="s">
        <v>66</v>
      </c>
      <c r="G416" s="4" t="s">
        <v>432</v>
      </c>
    </row>
    <row r="417" customFormat="false" ht="15" hidden="false" customHeight="false" outlineLevel="0" collapsed="false">
      <c r="A417" s="4" t="s">
        <v>324</v>
      </c>
      <c r="B417" s="4" t="s">
        <v>325</v>
      </c>
      <c r="C417" s="4" t="s">
        <v>125</v>
      </c>
      <c r="D417" s="4" t="s">
        <v>153</v>
      </c>
      <c r="E417" s="4" t="s">
        <v>68</v>
      </c>
      <c r="F417" s="4" t="s">
        <v>69</v>
      </c>
      <c r="G417" s="4" t="s">
        <v>150</v>
      </c>
    </row>
    <row r="418" customFormat="false" ht="15" hidden="false" customHeight="false" outlineLevel="0" collapsed="false">
      <c r="A418" s="4" t="s">
        <v>324</v>
      </c>
      <c r="B418" s="4" t="s">
        <v>325</v>
      </c>
      <c r="C418" s="4" t="s">
        <v>125</v>
      </c>
      <c r="D418" s="4" t="s">
        <v>153</v>
      </c>
      <c r="E418" s="4" t="s">
        <v>75</v>
      </c>
      <c r="F418" s="4" t="s">
        <v>74</v>
      </c>
      <c r="G418" s="4" t="s">
        <v>150</v>
      </c>
    </row>
    <row r="419" customFormat="false" ht="15" hidden="false" customHeight="false" outlineLevel="0" collapsed="false">
      <c r="A419" s="4" t="s">
        <v>324</v>
      </c>
      <c r="B419" s="4" t="s">
        <v>325</v>
      </c>
      <c r="C419" s="4" t="s">
        <v>125</v>
      </c>
      <c r="D419" s="4" t="s">
        <v>153</v>
      </c>
      <c r="E419" s="4" t="s">
        <v>80</v>
      </c>
      <c r="F419" s="4" t="s">
        <v>79</v>
      </c>
      <c r="G419" s="4" t="s">
        <v>432</v>
      </c>
    </row>
    <row r="420" customFormat="false" ht="15" hidden="false" customHeight="false" outlineLevel="0" collapsed="false">
      <c r="A420" s="4" t="s">
        <v>324</v>
      </c>
      <c r="B420" s="4" t="s">
        <v>325</v>
      </c>
      <c r="C420" s="4" t="s">
        <v>125</v>
      </c>
      <c r="D420" s="4" t="s">
        <v>153</v>
      </c>
      <c r="E420" s="4" t="s">
        <v>108</v>
      </c>
      <c r="F420" s="4" t="s">
        <v>107</v>
      </c>
      <c r="G420" s="4" t="s">
        <v>432</v>
      </c>
    </row>
    <row r="421" customFormat="false" ht="15" hidden="false" customHeight="false" outlineLevel="0" collapsed="false">
      <c r="A421" s="4" t="s">
        <v>328</v>
      </c>
      <c r="B421" s="4" t="s">
        <v>329</v>
      </c>
      <c r="C421" s="4" t="s">
        <v>126</v>
      </c>
      <c r="D421" s="4" t="s">
        <v>144</v>
      </c>
      <c r="E421" s="4" t="s">
        <v>9</v>
      </c>
      <c r="F421" s="4" t="s">
        <v>10</v>
      </c>
      <c r="G421" s="4" t="s">
        <v>432</v>
      </c>
    </row>
    <row r="422" customFormat="false" ht="15" hidden="false" customHeight="false" outlineLevel="0" collapsed="false">
      <c r="A422" s="4" t="s">
        <v>328</v>
      </c>
      <c r="B422" s="4" t="s">
        <v>329</v>
      </c>
      <c r="C422" s="4" t="s">
        <v>126</v>
      </c>
      <c r="D422" s="4" t="s">
        <v>144</v>
      </c>
      <c r="E422" s="4" t="s">
        <v>11</v>
      </c>
      <c r="F422" s="4" t="s">
        <v>10</v>
      </c>
      <c r="G422" s="4" t="s">
        <v>432</v>
      </c>
    </row>
    <row r="423" customFormat="false" ht="15" hidden="false" customHeight="false" outlineLevel="0" collapsed="false">
      <c r="A423" s="4" t="s">
        <v>328</v>
      </c>
      <c r="B423" s="4" t="s">
        <v>329</v>
      </c>
      <c r="C423" s="4" t="s">
        <v>126</v>
      </c>
      <c r="D423" s="4" t="s">
        <v>144</v>
      </c>
      <c r="E423" s="4" t="s">
        <v>12</v>
      </c>
      <c r="F423" s="4" t="s">
        <v>10</v>
      </c>
      <c r="G423" s="4" t="s">
        <v>432</v>
      </c>
    </row>
    <row r="424" customFormat="false" ht="15" hidden="false" customHeight="false" outlineLevel="0" collapsed="false">
      <c r="A424" s="4" t="s">
        <v>328</v>
      </c>
      <c r="B424" s="4" t="s">
        <v>329</v>
      </c>
      <c r="C424" s="4" t="s">
        <v>126</v>
      </c>
      <c r="D424" s="4" t="s">
        <v>144</v>
      </c>
      <c r="E424" s="4" t="s">
        <v>13</v>
      </c>
      <c r="F424" s="4" t="s">
        <v>10</v>
      </c>
      <c r="G424" s="4" t="s">
        <v>432</v>
      </c>
    </row>
    <row r="425" customFormat="false" ht="15" hidden="false" customHeight="false" outlineLevel="0" collapsed="false">
      <c r="A425" s="4" t="s">
        <v>328</v>
      </c>
      <c r="B425" s="4" t="s">
        <v>329</v>
      </c>
      <c r="C425" s="4" t="s">
        <v>126</v>
      </c>
      <c r="D425" s="4" t="s">
        <v>144</v>
      </c>
      <c r="E425" s="4" t="s">
        <v>16</v>
      </c>
      <c r="F425" s="4" t="s">
        <v>10</v>
      </c>
      <c r="G425" s="4" t="s">
        <v>150</v>
      </c>
    </row>
    <row r="426" customFormat="false" ht="15" hidden="false" customHeight="false" outlineLevel="0" collapsed="false">
      <c r="A426" s="4" t="s">
        <v>328</v>
      </c>
      <c r="B426" s="4" t="s">
        <v>329</v>
      </c>
      <c r="C426" s="4" t="s">
        <v>126</v>
      </c>
      <c r="D426" s="4" t="s">
        <v>144</v>
      </c>
      <c r="E426" s="4" t="s">
        <v>17</v>
      </c>
      <c r="F426" s="4" t="s">
        <v>10</v>
      </c>
      <c r="G426" s="4" t="s">
        <v>150</v>
      </c>
    </row>
    <row r="427" customFormat="false" ht="15" hidden="false" customHeight="false" outlineLevel="0" collapsed="false">
      <c r="A427" s="4" t="s">
        <v>328</v>
      </c>
      <c r="B427" s="4" t="s">
        <v>329</v>
      </c>
      <c r="C427" s="4" t="s">
        <v>126</v>
      </c>
      <c r="D427" s="4" t="s">
        <v>144</v>
      </c>
      <c r="E427" s="4" t="s">
        <v>19</v>
      </c>
      <c r="F427" s="4" t="s">
        <v>20</v>
      </c>
      <c r="G427" s="4" t="s">
        <v>150</v>
      </c>
    </row>
    <row r="428" customFormat="false" ht="15" hidden="false" customHeight="false" outlineLevel="0" collapsed="false">
      <c r="A428" s="4" t="s">
        <v>328</v>
      </c>
      <c r="B428" s="4" t="s">
        <v>329</v>
      </c>
      <c r="C428" s="4" t="s">
        <v>126</v>
      </c>
      <c r="D428" s="4" t="s">
        <v>144</v>
      </c>
      <c r="E428" s="4" t="s">
        <v>21</v>
      </c>
      <c r="F428" s="4" t="s">
        <v>20</v>
      </c>
      <c r="G428" s="4" t="s">
        <v>432</v>
      </c>
    </row>
    <row r="429" customFormat="false" ht="15" hidden="false" customHeight="false" outlineLevel="0" collapsed="false">
      <c r="A429" s="4" t="s">
        <v>328</v>
      </c>
      <c r="B429" s="4" t="s">
        <v>329</v>
      </c>
      <c r="C429" s="4" t="s">
        <v>126</v>
      </c>
      <c r="D429" s="4" t="s">
        <v>144</v>
      </c>
      <c r="E429" s="4" t="s">
        <v>31</v>
      </c>
      <c r="F429" s="4" t="s">
        <v>28</v>
      </c>
      <c r="G429" s="4" t="s">
        <v>150</v>
      </c>
    </row>
    <row r="430" customFormat="false" ht="15" hidden="false" customHeight="false" outlineLevel="0" collapsed="false">
      <c r="A430" s="4" t="s">
        <v>328</v>
      </c>
      <c r="B430" s="4" t="s">
        <v>329</v>
      </c>
      <c r="C430" s="4" t="s">
        <v>126</v>
      </c>
      <c r="D430" s="4" t="s">
        <v>144</v>
      </c>
      <c r="E430" s="4" t="s">
        <v>32</v>
      </c>
      <c r="F430" s="4" t="s">
        <v>28</v>
      </c>
      <c r="G430" s="4" t="s">
        <v>150</v>
      </c>
    </row>
    <row r="431" customFormat="false" ht="15" hidden="false" customHeight="false" outlineLevel="0" collapsed="false">
      <c r="A431" s="4" t="s">
        <v>328</v>
      </c>
      <c r="B431" s="4" t="s">
        <v>329</v>
      </c>
      <c r="C431" s="4" t="s">
        <v>126</v>
      </c>
      <c r="D431" s="4" t="s">
        <v>144</v>
      </c>
      <c r="E431" s="4" t="s">
        <v>33</v>
      </c>
      <c r="F431" s="4" t="s">
        <v>28</v>
      </c>
      <c r="G431" s="4" t="s">
        <v>150</v>
      </c>
    </row>
    <row r="432" customFormat="false" ht="15" hidden="false" customHeight="false" outlineLevel="0" collapsed="false">
      <c r="A432" s="4" t="s">
        <v>328</v>
      </c>
      <c r="B432" s="4" t="s">
        <v>329</v>
      </c>
      <c r="C432" s="4" t="s">
        <v>126</v>
      </c>
      <c r="D432" s="4" t="s">
        <v>144</v>
      </c>
      <c r="E432" s="4" t="s">
        <v>41</v>
      </c>
      <c r="F432" s="4" t="s">
        <v>42</v>
      </c>
      <c r="G432" s="4" t="s">
        <v>150</v>
      </c>
    </row>
    <row r="433" customFormat="false" ht="15" hidden="false" customHeight="false" outlineLevel="0" collapsed="false">
      <c r="A433" s="4" t="s">
        <v>328</v>
      </c>
      <c r="B433" s="4" t="s">
        <v>329</v>
      </c>
      <c r="C433" s="4" t="s">
        <v>126</v>
      </c>
      <c r="D433" s="4" t="s">
        <v>144</v>
      </c>
      <c r="E433" s="4" t="s">
        <v>61</v>
      </c>
      <c r="F433" s="4" t="s">
        <v>57</v>
      </c>
      <c r="G433" s="4" t="s">
        <v>433</v>
      </c>
    </row>
    <row r="434" customFormat="false" ht="15" hidden="false" customHeight="false" outlineLevel="0" collapsed="false">
      <c r="A434" s="4" t="s">
        <v>328</v>
      </c>
      <c r="B434" s="4" t="s">
        <v>329</v>
      </c>
      <c r="C434" s="4" t="s">
        <v>126</v>
      </c>
      <c r="D434" s="4" t="s">
        <v>144</v>
      </c>
      <c r="E434" s="4" t="s">
        <v>65</v>
      </c>
      <c r="F434" s="4" t="s">
        <v>66</v>
      </c>
      <c r="G434" s="4" t="s">
        <v>432</v>
      </c>
    </row>
    <row r="435" customFormat="false" ht="15" hidden="false" customHeight="false" outlineLevel="0" collapsed="false">
      <c r="A435" s="4" t="s">
        <v>328</v>
      </c>
      <c r="B435" s="4" t="s">
        <v>329</v>
      </c>
      <c r="C435" s="4" t="s">
        <v>126</v>
      </c>
      <c r="D435" s="4" t="s">
        <v>144</v>
      </c>
      <c r="E435" s="4" t="s">
        <v>68</v>
      </c>
      <c r="F435" s="4" t="s">
        <v>69</v>
      </c>
      <c r="G435" s="4" t="s">
        <v>432</v>
      </c>
    </row>
    <row r="436" customFormat="false" ht="15" hidden="false" customHeight="false" outlineLevel="0" collapsed="false">
      <c r="A436" s="4" t="s">
        <v>328</v>
      </c>
      <c r="B436" s="4" t="s">
        <v>329</v>
      </c>
      <c r="C436" s="4" t="s">
        <v>126</v>
      </c>
      <c r="D436" s="4" t="s">
        <v>144</v>
      </c>
      <c r="E436" s="4" t="s">
        <v>70</v>
      </c>
      <c r="F436" s="4" t="s">
        <v>69</v>
      </c>
      <c r="G436" s="4" t="s">
        <v>432</v>
      </c>
    </row>
    <row r="437" customFormat="false" ht="15" hidden="false" customHeight="false" outlineLevel="0" collapsed="false">
      <c r="A437" s="4" t="s">
        <v>328</v>
      </c>
      <c r="B437" s="4" t="s">
        <v>329</v>
      </c>
      <c r="C437" s="4" t="s">
        <v>126</v>
      </c>
      <c r="D437" s="4" t="s">
        <v>144</v>
      </c>
      <c r="E437" s="4" t="s">
        <v>73</v>
      </c>
      <c r="F437" s="4" t="s">
        <v>74</v>
      </c>
      <c r="G437" s="4" t="s">
        <v>432</v>
      </c>
    </row>
    <row r="438" customFormat="false" ht="15" hidden="false" customHeight="false" outlineLevel="0" collapsed="false">
      <c r="A438" s="4" t="s">
        <v>328</v>
      </c>
      <c r="B438" s="4" t="s">
        <v>329</v>
      </c>
      <c r="C438" s="4" t="s">
        <v>126</v>
      </c>
      <c r="D438" s="4" t="s">
        <v>144</v>
      </c>
      <c r="E438" s="4" t="s">
        <v>76</v>
      </c>
      <c r="F438" s="4" t="s">
        <v>74</v>
      </c>
      <c r="G438" s="4" t="s">
        <v>150</v>
      </c>
    </row>
    <row r="439" customFormat="false" ht="15" hidden="false" customHeight="false" outlineLevel="0" collapsed="false">
      <c r="A439" s="4" t="s">
        <v>328</v>
      </c>
      <c r="B439" s="4" t="s">
        <v>329</v>
      </c>
      <c r="C439" s="4" t="s">
        <v>126</v>
      </c>
      <c r="D439" s="4" t="s">
        <v>144</v>
      </c>
      <c r="E439" s="4" t="s">
        <v>80</v>
      </c>
      <c r="F439" s="4" t="s">
        <v>79</v>
      </c>
      <c r="G439" s="4" t="s">
        <v>432</v>
      </c>
    </row>
    <row r="440" customFormat="false" ht="15" hidden="false" customHeight="false" outlineLevel="0" collapsed="false">
      <c r="A440" s="4" t="s">
        <v>328</v>
      </c>
      <c r="B440" s="4" t="s">
        <v>329</v>
      </c>
      <c r="C440" s="4" t="s">
        <v>126</v>
      </c>
      <c r="D440" s="4" t="s">
        <v>144</v>
      </c>
      <c r="E440" s="4" t="s">
        <v>92</v>
      </c>
      <c r="F440" s="4" t="s">
        <v>93</v>
      </c>
      <c r="G440" s="4" t="s">
        <v>150</v>
      </c>
    </row>
    <row r="441" customFormat="false" ht="15" hidden="false" customHeight="false" outlineLevel="0" collapsed="false">
      <c r="A441" s="4" t="s">
        <v>328</v>
      </c>
      <c r="B441" s="4" t="s">
        <v>329</v>
      </c>
      <c r="C441" s="4" t="s">
        <v>126</v>
      </c>
      <c r="D441" s="4" t="s">
        <v>144</v>
      </c>
      <c r="E441" s="4" t="s">
        <v>94</v>
      </c>
      <c r="F441" s="4" t="s">
        <v>95</v>
      </c>
      <c r="G441" s="4" t="s">
        <v>150</v>
      </c>
    </row>
    <row r="442" customFormat="false" ht="15" hidden="false" customHeight="false" outlineLevel="0" collapsed="false">
      <c r="A442" s="4" t="s">
        <v>331</v>
      </c>
      <c r="B442" s="4" t="s">
        <v>332</v>
      </c>
      <c r="C442" s="4" t="s">
        <v>126</v>
      </c>
      <c r="D442" s="4" t="s">
        <v>153</v>
      </c>
      <c r="E442" s="4" t="s">
        <v>9</v>
      </c>
      <c r="F442" s="4" t="s">
        <v>10</v>
      </c>
      <c r="G442" s="4" t="s">
        <v>150</v>
      </c>
    </row>
    <row r="443" customFormat="false" ht="15" hidden="false" customHeight="false" outlineLevel="0" collapsed="false">
      <c r="A443" s="4" t="s">
        <v>331</v>
      </c>
      <c r="B443" s="4" t="s">
        <v>332</v>
      </c>
      <c r="C443" s="4" t="s">
        <v>126</v>
      </c>
      <c r="D443" s="4" t="s">
        <v>153</v>
      </c>
      <c r="E443" s="4" t="s">
        <v>11</v>
      </c>
      <c r="F443" s="4" t="s">
        <v>10</v>
      </c>
      <c r="G443" s="4" t="s">
        <v>432</v>
      </c>
    </row>
    <row r="444" customFormat="false" ht="15" hidden="false" customHeight="false" outlineLevel="0" collapsed="false">
      <c r="A444" s="4" t="s">
        <v>331</v>
      </c>
      <c r="B444" s="4" t="s">
        <v>332</v>
      </c>
      <c r="C444" s="4" t="s">
        <v>126</v>
      </c>
      <c r="D444" s="4" t="s">
        <v>153</v>
      </c>
      <c r="E444" s="4" t="s">
        <v>12</v>
      </c>
      <c r="F444" s="4" t="s">
        <v>10</v>
      </c>
      <c r="G444" s="4" t="s">
        <v>432</v>
      </c>
    </row>
    <row r="445" customFormat="false" ht="15" hidden="false" customHeight="false" outlineLevel="0" collapsed="false">
      <c r="A445" s="4" t="s">
        <v>331</v>
      </c>
      <c r="B445" s="4" t="s">
        <v>332</v>
      </c>
      <c r="C445" s="4" t="s">
        <v>126</v>
      </c>
      <c r="D445" s="4" t="s">
        <v>153</v>
      </c>
      <c r="E445" s="4" t="s">
        <v>13</v>
      </c>
      <c r="F445" s="4" t="s">
        <v>10</v>
      </c>
      <c r="G445" s="4" t="s">
        <v>432</v>
      </c>
    </row>
    <row r="446" customFormat="false" ht="15" hidden="false" customHeight="false" outlineLevel="0" collapsed="false">
      <c r="A446" s="4" t="s">
        <v>331</v>
      </c>
      <c r="B446" s="4" t="s">
        <v>332</v>
      </c>
      <c r="C446" s="4" t="s">
        <v>126</v>
      </c>
      <c r="D446" s="4" t="s">
        <v>153</v>
      </c>
      <c r="E446" s="4" t="s">
        <v>17</v>
      </c>
      <c r="F446" s="4" t="s">
        <v>10</v>
      </c>
      <c r="G446" s="4" t="s">
        <v>432</v>
      </c>
    </row>
    <row r="447" customFormat="false" ht="15" hidden="false" customHeight="false" outlineLevel="0" collapsed="false">
      <c r="A447" s="4" t="s">
        <v>331</v>
      </c>
      <c r="B447" s="4" t="s">
        <v>332</v>
      </c>
      <c r="C447" s="4" t="s">
        <v>126</v>
      </c>
      <c r="D447" s="4" t="s">
        <v>153</v>
      </c>
      <c r="E447" s="4" t="s">
        <v>19</v>
      </c>
      <c r="F447" s="4" t="s">
        <v>20</v>
      </c>
      <c r="G447" s="4" t="s">
        <v>432</v>
      </c>
    </row>
    <row r="448" customFormat="false" ht="15" hidden="false" customHeight="false" outlineLevel="0" collapsed="false">
      <c r="A448" s="4" t="s">
        <v>331</v>
      </c>
      <c r="B448" s="4" t="s">
        <v>332</v>
      </c>
      <c r="C448" s="4" t="s">
        <v>126</v>
      </c>
      <c r="D448" s="4" t="s">
        <v>153</v>
      </c>
      <c r="E448" s="4" t="s">
        <v>21</v>
      </c>
      <c r="F448" s="4" t="s">
        <v>20</v>
      </c>
      <c r="G448" s="4" t="s">
        <v>150</v>
      </c>
    </row>
    <row r="449" customFormat="false" ht="15" hidden="false" customHeight="false" outlineLevel="0" collapsed="false">
      <c r="A449" s="4" t="s">
        <v>331</v>
      </c>
      <c r="B449" s="4" t="s">
        <v>332</v>
      </c>
      <c r="C449" s="4" t="s">
        <v>126</v>
      </c>
      <c r="D449" s="4" t="s">
        <v>153</v>
      </c>
      <c r="E449" s="4" t="s">
        <v>27</v>
      </c>
      <c r="F449" s="4" t="s">
        <v>28</v>
      </c>
      <c r="G449" s="4" t="s">
        <v>150</v>
      </c>
    </row>
    <row r="450" customFormat="false" ht="15" hidden="false" customHeight="false" outlineLevel="0" collapsed="false">
      <c r="A450" s="4" t="s">
        <v>331</v>
      </c>
      <c r="B450" s="4" t="s">
        <v>332</v>
      </c>
      <c r="C450" s="4" t="s">
        <v>126</v>
      </c>
      <c r="D450" s="4" t="s">
        <v>153</v>
      </c>
      <c r="E450" s="4" t="s">
        <v>35</v>
      </c>
      <c r="F450" s="4" t="s">
        <v>36</v>
      </c>
      <c r="G450" s="4" t="s">
        <v>150</v>
      </c>
    </row>
    <row r="451" customFormat="false" ht="15" hidden="false" customHeight="false" outlineLevel="0" collapsed="false">
      <c r="A451" s="4" t="s">
        <v>331</v>
      </c>
      <c r="B451" s="4" t="s">
        <v>332</v>
      </c>
      <c r="C451" s="4" t="s">
        <v>126</v>
      </c>
      <c r="D451" s="4" t="s">
        <v>153</v>
      </c>
      <c r="E451" s="4" t="s">
        <v>41</v>
      </c>
      <c r="F451" s="4" t="s">
        <v>42</v>
      </c>
      <c r="G451" s="4" t="s">
        <v>432</v>
      </c>
    </row>
    <row r="452" customFormat="false" ht="15" hidden="false" customHeight="false" outlineLevel="0" collapsed="false">
      <c r="A452" s="4" t="s">
        <v>331</v>
      </c>
      <c r="B452" s="4" t="s">
        <v>332</v>
      </c>
      <c r="C452" s="4" t="s">
        <v>126</v>
      </c>
      <c r="D452" s="4" t="s">
        <v>153</v>
      </c>
      <c r="E452" s="4" t="s">
        <v>62</v>
      </c>
      <c r="F452" s="4" t="s">
        <v>63</v>
      </c>
      <c r="G452" s="4" t="s">
        <v>150</v>
      </c>
    </row>
    <row r="453" customFormat="false" ht="15" hidden="false" customHeight="false" outlineLevel="0" collapsed="false">
      <c r="A453" s="4" t="s">
        <v>331</v>
      </c>
      <c r="B453" s="4" t="s">
        <v>332</v>
      </c>
      <c r="C453" s="4" t="s">
        <v>126</v>
      </c>
      <c r="D453" s="4" t="s">
        <v>153</v>
      </c>
      <c r="E453" s="4" t="s">
        <v>65</v>
      </c>
      <c r="F453" s="4" t="s">
        <v>66</v>
      </c>
      <c r="G453" s="4" t="s">
        <v>432</v>
      </c>
    </row>
    <row r="454" customFormat="false" ht="15" hidden="false" customHeight="false" outlineLevel="0" collapsed="false">
      <c r="A454" s="4" t="s">
        <v>331</v>
      </c>
      <c r="B454" s="4" t="s">
        <v>332</v>
      </c>
      <c r="C454" s="4" t="s">
        <v>126</v>
      </c>
      <c r="D454" s="4" t="s">
        <v>153</v>
      </c>
      <c r="E454" s="4" t="s">
        <v>68</v>
      </c>
      <c r="F454" s="4" t="s">
        <v>69</v>
      </c>
      <c r="G454" s="4" t="s">
        <v>432</v>
      </c>
    </row>
    <row r="455" customFormat="false" ht="15" hidden="false" customHeight="false" outlineLevel="0" collapsed="false">
      <c r="A455" s="4" t="s">
        <v>331</v>
      </c>
      <c r="B455" s="4" t="s">
        <v>332</v>
      </c>
      <c r="C455" s="4" t="s">
        <v>126</v>
      </c>
      <c r="D455" s="4" t="s">
        <v>153</v>
      </c>
      <c r="E455" s="4" t="s">
        <v>70</v>
      </c>
      <c r="F455" s="4" t="s">
        <v>69</v>
      </c>
      <c r="G455" s="4" t="s">
        <v>150</v>
      </c>
    </row>
    <row r="456" customFormat="false" ht="15" hidden="false" customHeight="false" outlineLevel="0" collapsed="false">
      <c r="A456" s="4" t="s">
        <v>331</v>
      </c>
      <c r="B456" s="4" t="s">
        <v>332</v>
      </c>
      <c r="C456" s="4" t="s">
        <v>126</v>
      </c>
      <c r="D456" s="4" t="s">
        <v>153</v>
      </c>
      <c r="E456" s="4" t="s">
        <v>75</v>
      </c>
      <c r="F456" s="4" t="s">
        <v>74</v>
      </c>
      <c r="G456" s="4" t="s">
        <v>433</v>
      </c>
    </row>
    <row r="457" customFormat="false" ht="15" hidden="false" customHeight="false" outlineLevel="0" collapsed="false">
      <c r="A457" s="4" t="s">
        <v>331</v>
      </c>
      <c r="B457" s="4" t="s">
        <v>332</v>
      </c>
      <c r="C457" s="4" t="s">
        <v>126</v>
      </c>
      <c r="D457" s="4" t="s">
        <v>153</v>
      </c>
      <c r="E457" s="4" t="s">
        <v>76</v>
      </c>
      <c r="F457" s="4" t="s">
        <v>74</v>
      </c>
      <c r="G457" s="4" t="s">
        <v>150</v>
      </c>
    </row>
    <row r="458" customFormat="false" ht="15" hidden="false" customHeight="false" outlineLevel="0" collapsed="false">
      <c r="A458" s="4" t="s">
        <v>331</v>
      </c>
      <c r="B458" s="4" t="s">
        <v>332</v>
      </c>
      <c r="C458" s="4" t="s">
        <v>126</v>
      </c>
      <c r="D458" s="4" t="s">
        <v>153</v>
      </c>
      <c r="E458" s="4" t="s">
        <v>81</v>
      </c>
      <c r="F458" s="4" t="s">
        <v>79</v>
      </c>
      <c r="G458" s="4" t="s">
        <v>150</v>
      </c>
    </row>
    <row r="459" customFormat="false" ht="15" hidden="false" customHeight="false" outlineLevel="0" collapsed="false">
      <c r="A459" s="4" t="s">
        <v>331</v>
      </c>
      <c r="B459" s="4" t="s">
        <v>332</v>
      </c>
      <c r="C459" s="4" t="s">
        <v>126</v>
      </c>
      <c r="D459" s="4" t="s">
        <v>153</v>
      </c>
      <c r="E459" s="4" t="s">
        <v>89</v>
      </c>
      <c r="F459" s="4" t="s">
        <v>90</v>
      </c>
      <c r="G459" s="4" t="s">
        <v>150</v>
      </c>
    </row>
    <row r="460" customFormat="false" ht="15" hidden="false" customHeight="false" outlineLevel="0" collapsed="false">
      <c r="A460" s="4" t="s">
        <v>331</v>
      </c>
      <c r="B460" s="4" t="s">
        <v>332</v>
      </c>
      <c r="C460" s="4" t="s">
        <v>126</v>
      </c>
      <c r="D460" s="4" t="s">
        <v>153</v>
      </c>
      <c r="E460" s="4" t="s">
        <v>102</v>
      </c>
      <c r="F460" s="4" t="s">
        <v>101</v>
      </c>
      <c r="G460" s="4" t="s">
        <v>150</v>
      </c>
    </row>
    <row r="461" customFormat="false" ht="15" hidden="false" customHeight="false" outlineLevel="0" collapsed="false">
      <c r="A461" s="4" t="s">
        <v>331</v>
      </c>
      <c r="B461" s="4" t="s">
        <v>332</v>
      </c>
      <c r="C461" s="4" t="s">
        <v>126</v>
      </c>
      <c r="D461" s="4" t="s">
        <v>153</v>
      </c>
      <c r="E461" s="4" t="s">
        <v>108</v>
      </c>
      <c r="F461" s="4" t="s">
        <v>107</v>
      </c>
      <c r="G461" s="4" t="s">
        <v>432</v>
      </c>
    </row>
    <row r="462" customFormat="false" ht="15" hidden="false" customHeight="false" outlineLevel="0" collapsed="false">
      <c r="A462" s="4" t="s">
        <v>335</v>
      </c>
      <c r="B462" s="4" t="s">
        <v>336</v>
      </c>
      <c r="C462" s="4" t="s">
        <v>126</v>
      </c>
      <c r="D462" s="4" t="s">
        <v>153</v>
      </c>
      <c r="E462" s="4" t="s">
        <v>68</v>
      </c>
      <c r="F462" s="4" t="s">
        <v>69</v>
      </c>
      <c r="G462" s="4" t="s">
        <v>150</v>
      </c>
    </row>
    <row r="463" customFormat="false" ht="15" hidden="false" customHeight="false" outlineLevel="0" collapsed="false">
      <c r="A463" s="4" t="s">
        <v>335</v>
      </c>
      <c r="B463" s="4" t="s">
        <v>336</v>
      </c>
      <c r="C463" s="4" t="s">
        <v>126</v>
      </c>
      <c r="D463" s="4" t="s">
        <v>153</v>
      </c>
      <c r="E463" s="4" t="s">
        <v>76</v>
      </c>
      <c r="F463" s="4" t="s">
        <v>74</v>
      </c>
      <c r="G463" s="4" t="s">
        <v>150</v>
      </c>
    </row>
    <row r="464" customFormat="false" ht="15" hidden="false" customHeight="false" outlineLevel="0" collapsed="false">
      <c r="A464" s="4" t="s">
        <v>337</v>
      </c>
      <c r="B464" s="4" t="s">
        <v>338</v>
      </c>
      <c r="C464" s="4" t="s">
        <v>126</v>
      </c>
      <c r="D464" s="4" t="s">
        <v>153</v>
      </c>
      <c r="E464" s="4" t="s">
        <v>9</v>
      </c>
      <c r="F464" s="4" t="s">
        <v>10</v>
      </c>
      <c r="G464" s="4" t="s">
        <v>150</v>
      </c>
    </row>
    <row r="465" customFormat="false" ht="15" hidden="false" customHeight="false" outlineLevel="0" collapsed="false">
      <c r="A465" s="4" t="s">
        <v>337</v>
      </c>
      <c r="B465" s="4" t="s">
        <v>338</v>
      </c>
      <c r="C465" s="4" t="s">
        <v>126</v>
      </c>
      <c r="D465" s="4" t="s">
        <v>153</v>
      </c>
      <c r="E465" s="4" t="s">
        <v>12</v>
      </c>
      <c r="F465" s="4" t="s">
        <v>10</v>
      </c>
      <c r="G465" s="4" t="s">
        <v>433</v>
      </c>
    </row>
    <row r="466" customFormat="false" ht="15" hidden="false" customHeight="false" outlineLevel="0" collapsed="false">
      <c r="A466" s="4" t="s">
        <v>337</v>
      </c>
      <c r="B466" s="4" t="s">
        <v>338</v>
      </c>
      <c r="C466" s="4" t="s">
        <v>126</v>
      </c>
      <c r="D466" s="4" t="s">
        <v>153</v>
      </c>
      <c r="E466" s="4" t="s">
        <v>68</v>
      </c>
      <c r="F466" s="4" t="s">
        <v>69</v>
      </c>
      <c r="G466" s="4" t="s">
        <v>150</v>
      </c>
    </row>
    <row r="467" customFormat="false" ht="15" hidden="false" customHeight="false" outlineLevel="0" collapsed="false">
      <c r="A467" s="4" t="s">
        <v>337</v>
      </c>
      <c r="B467" s="4" t="s">
        <v>338</v>
      </c>
      <c r="C467" s="4" t="s">
        <v>126</v>
      </c>
      <c r="D467" s="4" t="s">
        <v>153</v>
      </c>
      <c r="E467" s="4" t="s">
        <v>75</v>
      </c>
      <c r="F467" s="4" t="s">
        <v>74</v>
      </c>
      <c r="G467" s="4" t="s">
        <v>432</v>
      </c>
    </row>
    <row r="468" customFormat="false" ht="15" hidden="false" customHeight="false" outlineLevel="0" collapsed="false">
      <c r="A468" s="4" t="s">
        <v>337</v>
      </c>
      <c r="B468" s="4" t="s">
        <v>338</v>
      </c>
      <c r="C468" s="4" t="s">
        <v>126</v>
      </c>
      <c r="D468" s="4" t="s">
        <v>153</v>
      </c>
      <c r="E468" s="4" t="s">
        <v>76</v>
      </c>
      <c r="F468" s="4" t="s">
        <v>74</v>
      </c>
      <c r="G468" s="4" t="s">
        <v>432</v>
      </c>
    </row>
    <row r="469" customFormat="false" ht="15" hidden="false" customHeight="false" outlineLevel="0" collapsed="false">
      <c r="A469" s="4" t="s">
        <v>337</v>
      </c>
      <c r="B469" s="4" t="s">
        <v>338</v>
      </c>
      <c r="C469" s="4" t="s">
        <v>126</v>
      </c>
      <c r="D469" s="4" t="s">
        <v>153</v>
      </c>
      <c r="E469" s="4" t="s">
        <v>85</v>
      </c>
      <c r="F469" s="4" t="s">
        <v>79</v>
      </c>
      <c r="G469" s="4" t="s">
        <v>432</v>
      </c>
    </row>
    <row r="470" customFormat="false" ht="15" hidden="false" customHeight="false" outlineLevel="0" collapsed="false">
      <c r="A470" s="4" t="s">
        <v>337</v>
      </c>
      <c r="B470" s="4" t="s">
        <v>338</v>
      </c>
      <c r="C470" s="4" t="s">
        <v>126</v>
      </c>
      <c r="D470" s="4" t="s">
        <v>153</v>
      </c>
      <c r="E470" s="4" t="s">
        <v>100</v>
      </c>
      <c r="F470" s="4" t="s">
        <v>101</v>
      </c>
      <c r="G470" s="4" t="s">
        <v>432</v>
      </c>
    </row>
    <row r="471" customFormat="false" ht="15" hidden="false" customHeight="false" outlineLevel="0" collapsed="false">
      <c r="A471" s="4" t="s">
        <v>339</v>
      </c>
      <c r="B471" s="4" t="s">
        <v>340</v>
      </c>
      <c r="C471" s="4" t="s">
        <v>126</v>
      </c>
      <c r="D471" s="4" t="s">
        <v>153</v>
      </c>
      <c r="E471" s="4" t="s">
        <v>9</v>
      </c>
      <c r="F471" s="4" t="s">
        <v>10</v>
      </c>
      <c r="G471" s="4" t="s">
        <v>432</v>
      </c>
    </row>
    <row r="472" customFormat="false" ht="15" hidden="false" customHeight="false" outlineLevel="0" collapsed="false">
      <c r="A472" s="4" t="s">
        <v>339</v>
      </c>
      <c r="B472" s="4" t="s">
        <v>340</v>
      </c>
      <c r="C472" s="4" t="s">
        <v>126</v>
      </c>
      <c r="D472" s="4" t="s">
        <v>153</v>
      </c>
      <c r="E472" s="4" t="s">
        <v>11</v>
      </c>
      <c r="F472" s="4" t="s">
        <v>10</v>
      </c>
      <c r="G472" s="4" t="s">
        <v>432</v>
      </c>
    </row>
    <row r="473" customFormat="false" ht="15" hidden="false" customHeight="false" outlineLevel="0" collapsed="false">
      <c r="A473" s="4" t="s">
        <v>339</v>
      </c>
      <c r="B473" s="4" t="s">
        <v>340</v>
      </c>
      <c r="C473" s="4" t="s">
        <v>126</v>
      </c>
      <c r="D473" s="4" t="s">
        <v>153</v>
      </c>
      <c r="E473" s="4" t="s">
        <v>12</v>
      </c>
      <c r="F473" s="4" t="s">
        <v>10</v>
      </c>
      <c r="G473" s="4" t="s">
        <v>432</v>
      </c>
    </row>
    <row r="474" customFormat="false" ht="15" hidden="false" customHeight="false" outlineLevel="0" collapsed="false">
      <c r="A474" s="4" t="s">
        <v>339</v>
      </c>
      <c r="B474" s="4" t="s">
        <v>340</v>
      </c>
      <c r="C474" s="4" t="s">
        <v>126</v>
      </c>
      <c r="D474" s="4" t="s">
        <v>153</v>
      </c>
      <c r="E474" s="4" t="s">
        <v>16</v>
      </c>
      <c r="F474" s="4" t="s">
        <v>10</v>
      </c>
      <c r="G474" s="4" t="s">
        <v>150</v>
      </c>
    </row>
    <row r="475" customFormat="false" ht="15" hidden="false" customHeight="false" outlineLevel="0" collapsed="false">
      <c r="A475" s="4" t="s">
        <v>339</v>
      </c>
      <c r="B475" s="4" t="s">
        <v>340</v>
      </c>
      <c r="C475" s="4" t="s">
        <v>126</v>
      </c>
      <c r="D475" s="4" t="s">
        <v>153</v>
      </c>
      <c r="E475" s="4" t="s">
        <v>17</v>
      </c>
      <c r="F475" s="4" t="s">
        <v>10</v>
      </c>
      <c r="G475" s="4" t="s">
        <v>150</v>
      </c>
    </row>
    <row r="476" customFormat="false" ht="15" hidden="false" customHeight="false" outlineLevel="0" collapsed="false">
      <c r="A476" s="4" t="s">
        <v>339</v>
      </c>
      <c r="B476" s="4" t="s">
        <v>340</v>
      </c>
      <c r="C476" s="4" t="s">
        <v>126</v>
      </c>
      <c r="D476" s="4" t="s">
        <v>153</v>
      </c>
      <c r="E476" s="4" t="s">
        <v>21</v>
      </c>
      <c r="F476" s="4" t="s">
        <v>20</v>
      </c>
      <c r="G476" s="4" t="s">
        <v>150</v>
      </c>
    </row>
    <row r="477" customFormat="false" ht="15" hidden="false" customHeight="false" outlineLevel="0" collapsed="false">
      <c r="A477" s="4" t="s">
        <v>339</v>
      </c>
      <c r="B477" s="4" t="s">
        <v>340</v>
      </c>
      <c r="C477" s="4" t="s">
        <v>126</v>
      </c>
      <c r="D477" s="4" t="s">
        <v>153</v>
      </c>
      <c r="E477" s="4" t="s">
        <v>22</v>
      </c>
      <c r="F477" s="4" t="s">
        <v>20</v>
      </c>
      <c r="G477" s="4" t="s">
        <v>433</v>
      </c>
    </row>
    <row r="478" customFormat="false" ht="15" hidden="false" customHeight="false" outlineLevel="0" collapsed="false">
      <c r="A478" s="4" t="s">
        <v>339</v>
      </c>
      <c r="B478" s="4" t="s">
        <v>340</v>
      </c>
      <c r="C478" s="4" t="s">
        <v>126</v>
      </c>
      <c r="D478" s="4" t="s">
        <v>153</v>
      </c>
      <c r="E478" s="4" t="s">
        <v>24</v>
      </c>
      <c r="F478" s="4" t="s">
        <v>25</v>
      </c>
      <c r="G478" s="4" t="s">
        <v>150</v>
      </c>
    </row>
    <row r="479" customFormat="false" ht="15" hidden="false" customHeight="false" outlineLevel="0" collapsed="false">
      <c r="A479" s="4" t="s">
        <v>339</v>
      </c>
      <c r="B479" s="4" t="s">
        <v>340</v>
      </c>
      <c r="C479" s="4" t="s">
        <v>126</v>
      </c>
      <c r="D479" s="4" t="s">
        <v>153</v>
      </c>
      <c r="E479" s="4" t="s">
        <v>27</v>
      </c>
      <c r="F479" s="4" t="s">
        <v>28</v>
      </c>
      <c r="G479" s="4" t="s">
        <v>150</v>
      </c>
    </row>
    <row r="480" customFormat="false" ht="15" hidden="false" customHeight="false" outlineLevel="0" collapsed="false">
      <c r="A480" s="4" t="s">
        <v>339</v>
      </c>
      <c r="B480" s="4" t="s">
        <v>340</v>
      </c>
      <c r="C480" s="4" t="s">
        <v>126</v>
      </c>
      <c r="D480" s="4" t="s">
        <v>153</v>
      </c>
      <c r="E480" s="4" t="s">
        <v>32</v>
      </c>
      <c r="F480" s="4" t="s">
        <v>28</v>
      </c>
      <c r="G480" s="4" t="s">
        <v>432</v>
      </c>
    </row>
    <row r="481" customFormat="false" ht="15" hidden="false" customHeight="false" outlineLevel="0" collapsed="false">
      <c r="A481" s="4" t="s">
        <v>339</v>
      </c>
      <c r="B481" s="4" t="s">
        <v>340</v>
      </c>
      <c r="C481" s="4" t="s">
        <v>126</v>
      </c>
      <c r="D481" s="4" t="s">
        <v>153</v>
      </c>
      <c r="E481" s="4" t="s">
        <v>33</v>
      </c>
      <c r="F481" s="4" t="s">
        <v>28</v>
      </c>
      <c r="G481" s="4" t="s">
        <v>150</v>
      </c>
    </row>
    <row r="482" customFormat="false" ht="15" hidden="false" customHeight="false" outlineLevel="0" collapsed="false">
      <c r="A482" s="4" t="s">
        <v>339</v>
      </c>
      <c r="B482" s="4" t="s">
        <v>340</v>
      </c>
      <c r="C482" s="4" t="s">
        <v>126</v>
      </c>
      <c r="D482" s="4" t="s">
        <v>153</v>
      </c>
      <c r="E482" s="4" t="s">
        <v>41</v>
      </c>
      <c r="F482" s="4" t="s">
        <v>42</v>
      </c>
      <c r="G482" s="4" t="s">
        <v>432</v>
      </c>
    </row>
    <row r="483" customFormat="false" ht="15" hidden="false" customHeight="false" outlineLevel="0" collapsed="false">
      <c r="A483" s="4" t="s">
        <v>339</v>
      </c>
      <c r="B483" s="4" t="s">
        <v>340</v>
      </c>
      <c r="C483" s="4" t="s">
        <v>126</v>
      </c>
      <c r="D483" s="4" t="s">
        <v>153</v>
      </c>
      <c r="E483" s="4" t="s">
        <v>43</v>
      </c>
      <c r="F483" s="4" t="s">
        <v>44</v>
      </c>
      <c r="G483" s="4" t="s">
        <v>150</v>
      </c>
    </row>
    <row r="484" customFormat="false" ht="15" hidden="false" customHeight="false" outlineLevel="0" collapsed="false">
      <c r="A484" s="4" t="s">
        <v>339</v>
      </c>
      <c r="B484" s="4" t="s">
        <v>340</v>
      </c>
      <c r="C484" s="4" t="s">
        <v>126</v>
      </c>
      <c r="D484" s="4" t="s">
        <v>153</v>
      </c>
      <c r="E484" s="4" t="s">
        <v>65</v>
      </c>
      <c r="F484" s="4" t="s">
        <v>66</v>
      </c>
      <c r="G484" s="4" t="s">
        <v>432</v>
      </c>
    </row>
    <row r="485" customFormat="false" ht="15" hidden="false" customHeight="false" outlineLevel="0" collapsed="false">
      <c r="A485" s="4" t="s">
        <v>339</v>
      </c>
      <c r="B485" s="4" t="s">
        <v>340</v>
      </c>
      <c r="C485" s="4" t="s">
        <v>126</v>
      </c>
      <c r="D485" s="4" t="s">
        <v>153</v>
      </c>
      <c r="E485" s="4" t="s">
        <v>68</v>
      </c>
      <c r="F485" s="4" t="s">
        <v>69</v>
      </c>
      <c r="G485" s="4" t="s">
        <v>432</v>
      </c>
    </row>
    <row r="486" customFormat="false" ht="15" hidden="false" customHeight="false" outlineLevel="0" collapsed="false">
      <c r="A486" s="4" t="s">
        <v>339</v>
      </c>
      <c r="B486" s="4" t="s">
        <v>340</v>
      </c>
      <c r="C486" s="4" t="s">
        <v>126</v>
      </c>
      <c r="D486" s="4" t="s">
        <v>153</v>
      </c>
      <c r="E486" s="4" t="s">
        <v>75</v>
      </c>
      <c r="F486" s="4" t="s">
        <v>74</v>
      </c>
      <c r="G486" s="4" t="s">
        <v>150</v>
      </c>
    </row>
    <row r="487" customFormat="false" ht="15" hidden="false" customHeight="false" outlineLevel="0" collapsed="false">
      <c r="A487" s="4" t="s">
        <v>339</v>
      </c>
      <c r="B487" s="4" t="s">
        <v>340</v>
      </c>
      <c r="C487" s="4" t="s">
        <v>126</v>
      </c>
      <c r="D487" s="4" t="s">
        <v>153</v>
      </c>
      <c r="E487" s="4" t="s">
        <v>80</v>
      </c>
      <c r="F487" s="4" t="s">
        <v>79</v>
      </c>
      <c r="G487" s="4" t="s">
        <v>432</v>
      </c>
    </row>
    <row r="488" customFormat="false" ht="15" hidden="false" customHeight="false" outlineLevel="0" collapsed="false">
      <c r="A488" s="4" t="s">
        <v>339</v>
      </c>
      <c r="B488" s="4" t="s">
        <v>340</v>
      </c>
      <c r="C488" s="4" t="s">
        <v>126</v>
      </c>
      <c r="D488" s="4" t="s">
        <v>153</v>
      </c>
      <c r="E488" s="4" t="s">
        <v>85</v>
      </c>
      <c r="F488" s="4" t="s">
        <v>79</v>
      </c>
      <c r="G488" s="4" t="s">
        <v>150</v>
      </c>
    </row>
    <row r="489" customFormat="false" ht="15" hidden="false" customHeight="false" outlineLevel="0" collapsed="false">
      <c r="A489" s="4" t="s">
        <v>339</v>
      </c>
      <c r="B489" s="4" t="s">
        <v>340</v>
      </c>
      <c r="C489" s="4" t="s">
        <v>126</v>
      </c>
      <c r="D489" s="4" t="s">
        <v>153</v>
      </c>
      <c r="E489" s="4" t="s">
        <v>102</v>
      </c>
      <c r="F489" s="4" t="s">
        <v>101</v>
      </c>
      <c r="G489" s="4" t="s">
        <v>150</v>
      </c>
    </row>
    <row r="490" customFormat="false" ht="15" hidden="false" customHeight="false" outlineLevel="0" collapsed="false">
      <c r="A490" s="4" t="s">
        <v>339</v>
      </c>
      <c r="B490" s="4" t="s">
        <v>340</v>
      </c>
      <c r="C490" s="4" t="s">
        <v>126</v>
      </c>
      <c r="D490" s="4" t="s">
        <v>153</v>
      </c>
      <c r="E490" s="4" t="s">
        <v>105</v>
      </c>
      <c r="F490" s="4" t="s">
        <v>101</v>
      </c>
      <c r="G490" s="4" t="s">
        <v>150</v>
      </c>
    </row>
    <row r="491" customFormat="false" ht="15" hidden="false" customHeight="false" outlineLevel="0" collapsed="false">
      <c r="A491" s="4" t="s">
        <v>339</v>
      </c>
      <c r="B491" s="4" t="s">
        <v>340</v>
      </c>
      <c r="C491" s="4" t="s">
        <v>126</v>
      </c>
      <c r="D491" s="4" t="s">
        <v>153</v>
      </c>
      <c r="E491" s="4" t="s">
        <v>108</v>
      </c>
      <c r="F491" s="4" t="s">
        <v>107</v>
      </c>
      <c r="G491" s="4" t="s">
        <v>432</v>
      </c>
    </row>
    <row r="492" customFormat="false" ht="15" hidden="false" customHeight="false" outlineLevel="0" collapsed="false">
      <c r="A492" s="4" t="s">
        <v>348</v>
      </c>
      <c r="B492" s="4" t="s">
        <v>349</v>
      </c>
      <c r="C492" s="4" t="s">
        <v>127</v>
      </c>
      <c r="D492" s="4" t="s">
        <v>144</v>
      </c>
      <c r="E492" s="4" t="s">
        <v>9</v>
      </c>
      <c r="F492" s="4" t="s">
        <v>10</v>
      </c>
      <c r="G492" s="4" t="s">
        <v>432</v>
      </c>
    </row>
    <row r="493" customFormat="false" ht="15" hidden="false" customHeight="false" outlineLevel="0" collapsed="false">
      <c r="A493" s="4" t="s">
        <v>348</v>
      </c>
      <c r="B493" s="4" t="s">
        <v>349</v>
      </c>
      <c r="C493" s="4" t="s">
        <v>127</v>
      </c>
      <c r="D493" s="4" t="s">
        <v>144</v>
      </c>
      <c r="E493" s="4" t="s">
        <v>11</v>
      </c>
      <c r="F493" s="4" t="s">
        <v>10</v>
      </c>
      <c r="G493" s="4" t="s">
        <v>433</v>
      </c>
    </row>
    <row r="494" customFormat="false" ht="15" hidden="false" customHeight="false" outlineLevel="0" collapsed="false">
      <c r="A494" s="4" t="s">
        <v>348</v>
      </c>
      <c r="B494" s="4" t="s">
        <v>349</v>
      </c>
      <c r="C494" s="4" t="s">
        <v>127</v>
      </c>
      <c r="D494" s="4" t="s">
        <v>144</v>
      </c>
      <c r="E494" s="4" t="s">
        <v>17</v>
      </c>
      <c r="F494" s="4" t="s">
        <v>10</v>
      </c>
      <c r="G494" s="4" t="s">
        <v>433</v>
      </c>
    </row>
    <row r="495" customFormat="false" ht="15" hidden="false" customHeight="false" outlineLevel="0" collapsed="false">
      <c r="A495" s="4" t="s">
        <v>348</v>
      </c>
      <c r="B495" s="4" t="s">
        <v>349</v>
      </c>
      <c r="C495" s="4" t="s">
        <v>127</v>
      </c>
      <c r="D495" s="4" t="s">
        <v>144</v>
      </c>
      <c r="E495" s="4" t="s">
        <v>21</v>
      </c>
      <c r="F495" s="4" t="s">
        <v>20</v>
      </c>
      <c r="G495" s="4" t="s">
        <v>433</v>
      </c>
    </row>
    <row r="496" customFormat="false" ht="15" hidden="false" customHeight="false" outlineLevel="0" collapsed="false">
      <c r="A496" s="4" t="s">
        <v>348</v>
      </c>
      <c r="B496" s="4" t="s">
        <v>349</v>
      </c>
      <c r="C496" s="4" t="s">
        <v>127</v>
      </c>
      <c r="D496" s="4" t="s">
        <v>144</v>
      </c>
      <c r="E496" s="4" t="s">
        <v>22</v>
      </c>
      <c r="F496" s="4" t="s">
        <v>20</v>
      </c>
      <c r="G496" s="4" t="s">
        <v>433</v>
      </c>
    </row>
    <row r="497" customFormat="false" ht="15" hidden="false" customHeight="false" outlineLevel="0" collapsed="false">
      <c r="A497" s="4" t="s">
        <v>348</v>
      </c>
      <c r="B497" s="4" t="s">
        <v>349</v>
      </c>
      <c r="C497" s="4" t="s">
        <v>127</v>
      </c>
      <c r="D497" s="4" t="s">
        <v>144</v>
      </c>
      <c r="E497" s="4" t="s">
        <v>41</v>
      </c>
      <c r="F497" s="4" t="s">
        <v>42</v>
      </c>
      <c r="G497" s="4" t="s">
        <v>432</v>
      </c>
    </row>
    <row r="498" customFormat="false" ht="15" hidden="false" customHeight="false" outlineLevel="0" collapsed="false">
      <c r="A498" s="4" t="s">
        <v>348</v>
      </c>
      <c r="B498" s="4" t="s">
        <v>349</v>
      </c>
      <c r="C498" s="4" t="s">
        <v>127</v>
      </c>
      <c r="D498" s="4" t="s">
        <v>144</v>
      </c>
      <c r="E498" s="4" t="s">
        <v>45</v>
      </c>
      <c r="F498" s="4" t="s">
        <v>44</v>
      </c>
      <c r="G498" s="4" t="s">
        <v>433</v>
      </c>
    </row>
    <row r="499" customFormat="false" ht="15" hidden="false" customHeight="false" outlineLevel="0" collapsed="false">
      <c r="A499" s="4" t="s">
        <v>348</v>
      </c>
      <c r="B499" s="4" t="s">
        <v>349</v>
      </c>
      <c r="C499" s="4" t="s">
        <v>127</v>
      </c>
      <c r="D499" s="4" t="s">
        <v>144</v>
      </c>
      <c r="E499" s="4" t="s">
        <v>46</v>
      </c>
      <c r="F499" s="4" t="s">
        <v>44</v>
      </c>
      <c r="G499" s="4" t="s">
        <v>433</v>
      </c>
    </row>
    <row r="500" customFormat="false" ht="15" hidden="false" customHeight="false" outlineLevel="0" collapsed="false">
      <c r="A500" s="4" t="s">
        <v>348</v>
      </c>
      <c r="B500" s="4" t="s">
        <v>349</v>
      </c>
      <c r="C500" s="4" t="s">
        <v>127</v>
      </c>
      <c r="D500" s="4" t="s">
        <v>144</v>
      </c>
      <c r="E500" s="4" t="s">
        <v>49</v>
      </c>
      <c r="F500" s="4" t="s">
        <v>44</v>
      </c>
      <c r="G500" s="4" t="s">
        <v>433</v>
      </c>
    </row>
    <row r="501" customFormat="false" ht="15" hidden="false" customHeight="false" outlineLevel="0" collapsed="false">
      <c r="A501" s="4" t="s">
        <v>348</v>
      </c>
      <c r="B501" s="4" t="s">
        <v>349</v>
      </c>
      <c r="C501" s="4" t="s">
        <v>127</v>
      </c>
      <c r="D501" s="4" t="s">
        <v>144</v>
      </c>
      <c r="E501" s="4" t="s">
        <v>65</v>
      </c>
      <c r="F501" s="4" t="s">
        <v>66</v>
      </c>
      <c r="G501" s="4" t="s">
        <v>432</v>
      </c>
    </row>
    <row r="502" customFormat="false" ht="15" hidden="false" customHeight="false" outlineLevel="0" collapsed="false">
      <c r="A502" s="4" t="s">
        <v>348</v>
      </c>
      <c r="B502" s="4" t="s">
        <v>349</v>
      </c>
      <c r="C502" s="4" t="s">
        <v>127</v>
      </c>
      <c r="D502" s="4" t="s">
        <v>144</v>
      </c>
      <c r="E502" s="4" t="s">
        <v>67</v>
      </c>
      <c r="F502" s="4" t="s">
        <v>66</v>
      </c>
      <c r="G502" s="4" t="s">
        <v>433</v>
      </c>
    </row>
    <row r="503" customFormat="false" ht="15" hidden="false" customHeight="false" outlineLevel="0" collapsed="false">
      <c r="A503" s="4" t="s">
        <v>348</v>
      </c>
      <c r="B503" s="4" t="s">
        <v>349</v>
      </c>
      <c r="C503" s="4" t="s">
        <v>127</v>
      </c>
      <c r="D503" s="4" t="s">
        <v>144</v>
      </c>
      <c r="E503" s="4" t="s">
        <v>68</v>
      </c>
      <c r="F503" s="4" t="s">
        <v>69</v>
      </c>
      <c r="G503" s="4" t="s">
        <v>432</v>
      </c>
    </row>
    <row r="504" customFormat="false" ht="15" hidden="false" customHeight="false" outlineLevel="0" collapsed="false">
      <c r="A504" s="4" t="s">
        <v>351</v>
      </c>
      <c r="B504" s="4" t="s">
        <v>352</v>
      </c>
      <c r="C504" s="4" t="s">
        <v>127</v>
      </c>
      <c r="D504" s="4" t="s">
        <v>144</v>
      </c>
      <c r="E504" s="4" t="s">
        <v>68</v>
      </c>
      <c r="F504" s="4" t="s">
        <v>69</v>
      </c>
      <c r="G504" s="4" t="s">
        <v>150</v>
      </c>
    </row>
    <row r="505" customFormat="false" ht="15" hidden="false" customHeight="false" outlineLevel="0" collapsed="false">
      <c r="A505" s="4" t="s">
        <v>357</v>
      </c>
      <c r="B505" s="4" t="s">
        <v>358</v>
      </c>
      <c r="C505" s="4" t="s">
        <v>127</v>
      </c>
      <c r="D505" s="4" t="s">
        <v>153</v>
      </c>
      <c r="E505" s="4" t="s">
        <v>9</v>
      </c>
      <c r="F505" s="4" t="s">
        <v>10</v>
      </c>
      <c r="G505" s="4" t="s">
        <v>150</v>
      </c>
    </row>
    <row r="506" customFormat="false" ht="15" hidden="false" customHeight="false" outlineLevel="0" collapsed="false">
      <c r="A506" s="4" t="s">
        <v>357</v>
      </c>
      <c r="B506" s="4" t="s">
        <v>358</v>
      </c>
      <c r="C506" s="4" t="s">
        <v>127</v>
      </c>
      <c r="D506" s="4" t="s">
        <v>153</v>
      </c>
      <c r="E506" s="4" t="s">
        <v>11</v>
      </c>
      <c r="F506" s="4" t="s">
        <v>10</v>
      </c>
      <c r="G506" s="4" t="s">
        <v>432</v>
      </c>
    </row>
    <row r="507" customFormat="false" ht="15" hidden="false" customHeight="false" outlineLevel="0" collapsed="false">
      <c r="A507" s="4" t="s">
        <v>357</v>
      </c>
      <c r="B507" s="4" t="s">
        <v>358</v>
      </c>
      <c r="C507" s="4" t="s">
        <v>127</v>
      </c>
      <c r="D507" s="4" t="s">
        <v>153</v>
      </c>
      <c r="E507" s="4" t="s">
        <v>12</v>
      </c>
      <c r="F507" s="4" t="s">
        <v>10</v>
      </c>
      <c r="G507" s="4" t="s">
        <v>432</v>
      </c>
    </row>
    <row r="508" customFormat="false" ht="15" hidden="false" customHeight="false" outlineLevel="0" collapsed="false">
      <c r="A508" s="4" t="s">
        <v>357</v>
      </c>
      <c r="B508" s="4" t="s">
        <v>358</v>
      </c>
      <c r="C508" s="4" t="s">
        <v>127</v>
      </c>
      <c r="D508" s="4" t="s">
        <v>153</v>
      </c>
      <c r="E508" s="4" t="s">
        <v>17</v>
      </c>
      <c r="F508" s="4" t="s">
        <v>10</v>
      </c>
      <c r="G508" s="4" t="s">
        <v>432</v>
      </c>
    </row>
    <row r="509" customFormat="false" ht="15" hidden="false" customHeight="false" outlineLevel="0" collapsed="false">
      <c r="A509" s="4" t="s">
        <v>357</v>
      </c>
      <c r="B509" s="4" t="s">
        <v>358</v>
      </c>
      <c r="C509" s="4" t="s">
        <v>127</v>
      </c>
      <c r="D509" s="4" t="s">
        <v>153</v>
      </c>
      <c r="E509" s="4" t="s">
        <v>32</v>
      </c>
      <c r="F509" s="4" t="s">
        <v>28</v>
      </c>
      <c r="G509" s="4" t="s">
        <v>150</v>
      </c>
    </row>
    <row r="510" customFormat="false" ht="15" hidden="false" customHeight="false" outlineLevel="0" collapsed="false">
      <c r="A510" s="4" t="s">
        <v>357</v>
      </c>
      <c r="B510" s="4" t="s">
        <v>358</v>
      </c>
      <c r="C510" s="4" t="s">
        <v>127</v>
      </c>
      <c r="D510" s="4" t="s">
        <v>153</v>
      </c>
      <c r="E510" s="4" t="s">
        <v>41</v>
      </c>
      <c r="F510" s="4" t="s">
        <v>42</v>
      </c>
      <c r="G510" s="4" t="s">
        <v>150</v>
      </c>
    </row>
    <row r="511" customFormat="false" ht="15" hidden="false" customHeight="false" outlineLevel="0" collapsed="false">
      <c r="A511" s="4" t="s">
        <v>357</v>
      </c>
      <c r="B511" s="4" t="s">
        <v>358</v>
      </c>
      <c r="C511" s="4" t="s">
        <v>127</v>
      </c>
      <c r="D511" s="4" t="s">
        <v>153</v>
      </c>
      <c r="E511" s="4" t="s">
        <v>65</v>
      </c>
      <c r="F511" s="4" t="s">
        <v>66</v>
      </c>
      <c r="G511" s="4" t="s">
        <v>432</v>
      </c>
    </row>
    <row r="512" customFormat="false" ht="15" hidden="false" customHeight="false" outlineLevel="0" collapsed="false">
      <c r="A512" s="4" t="s">
        <v>357</v>
      </c>
      <c r="B512" s="4" t="s">
        <v>358</v>
      </c>
      <c r="C512" s="4" t="s">
        <v>127</v>
      </c>
      <c r="D512" s="4" t="s">
        <v>153</v>
      </c>
      <c r="E512" s="4" t="s">
        <v>68</v>
      </c>
      <c r="F512" s="4" t="s">
        <v>69</v>
      </c>
      <c r="G512" s="4" t="s">
        <v>432</v>
      </c>
    </row>
    <row r="513" customFormat="false" ht="15" hidden="false" customHeight="false" outlineLevel="0" collapsed="false">
      <c r="A513" s="4" t="s">
        <v>357</v>
      </c>
      <c r="B513" s="4" t="s">
        <v>358</v>
      </c>
      <c r="C513" s="4" t="s">
        <v>127</v>
      </c>
      <c r="D513" s="4" t="s">
        <v>153</v>
      </c>
      <c r="E513" s="4" t="s">
        <v>73</v>
      </c>
      <c r="F513" s="4" t="s">
        <v>74</v>
      </c>
      <c r="G513" s="4" t="s">
        <v>432</v>
      </c>
    </row>
    <row r="514" customFormat="false" ht="15" hidden="false" customHeight="false" outlineLevel="0" collapsed="false">
      <c r="A514" s="4" t="s">
        <v>357</v>
      </c>
      <c r="B514" s="4" t="s">
        <v>358</v>
      </c>
      <c r="C514" s="4" t="s">
        <v>127</v>
      </c>
      <c r="D514" s="4" t="s">
        <v>153</v>
      </c>
      <c r="E514" s="4" t="s">
        <v>84</v>
      </c>
      <c r="F514" s="4" t="s">
        <v>79</v>
      </c>
      <c r="G514" s="4" t="s">
        <v>432</v>
      </c>
    </row>
    <row r="515" customFormat="false" ht="15" hidden="false" customHeight="false" outlineLevel="0" collapsed="false">
      <c r="A515" s="4" t="s">
        <v>357</v>
      </c>
      <c r="B515" s="4" t="s">
        <v>358</v>
      </c>
      <c r="C515" s="4" t="s">
        <v>127</v>
      </c>
      <c r="D515" s="4" t="s">
        <v>153</v>
      </c>
      <c r="E515" s="4" t="s">
        <v>92</v>
      </c>
      <c r="F515" s="4" t="s">
        <v>93</v>
      </c>
      <c r="G515" s="4" t="s">
        <v>150</v>
      </c>
    </row>
    <row r="516" customFormat="false" ht="15" hidden="false" customHeight="false" outlineLevel="0" collapsed="false">
      <c r="A516" s="4" t="s">
        <v>362</v>
      </c>
      <c r="B516" s="4" t="s">
        <v>363</v>
      </c>
      <c r="C516" s="4" t="s">
        <v>127</v>
      </c>
      <c r="D516" s="4" t="s">
        <v>153</v>
      </c>
      <c r="E516" s="4" t="s">
        <v>9</v>
      </c>
      <c r="F516" s="4" t="s">
        <v>10</v>
      </c>
      <c r="G516" s="4" t="s">
        <v>432</v>
      </c>
    </row>
    <row r="517" customFormat="false" ht="15" hidden="false" customHeight="false" outlineLevel="0" collapsed="false">
      <c r="A517" s="4" t="s">
        <v>362</v>
      </c>
      <c r="B517" s="4" t="s">
        <v>363</v>
      </c>
      <c r="C517" s="4" t="s">
        <v>127</v>
      </c>
      <c r="D517" s="4" t="s">
        <v>153</v>
      </c>
      <c r="E517" s="4" t="s">
        <v>11</v>
      </c>
      <c r="F517" s="4" t="s">
        <v>10</v>
      </c>
      <c r="G517" s="4" t="s">
        <v>432</v>
      </c>
    </row>
    <row r="518" customFormat="false" ht="15" hidden="false" customHeight="false" outlineLevel="0" collapsed="false">
      <c r="A518" s="4" t="s">
        <v>362</v>
      </c>
      <c r="B518" s="4" t="s">
        <v>363</v>
      </c>
      <c r="C518" s="4" t="s">
        <v>127</v>
      </c>
      <c r="D518" s="4" t="s">
        <v>153</v>
      </c>
      <c r="E518" s="4" t="s">
        <v>12</v>
      </c>
      <c r="F518" s="4" t="s">
        <v>10</v>
      </c>
      <c r="G518" s="4" t="s">
        <v>432</v>
      </c>
    </row>
    <row r="519" customFormat="false" ht="15" hidden="false" customHeight="false" outlineLevel="0" collapsed="false">
      <c r="A519" s="4" t="s">
        <v>362</v>
      </c>
      <c r="B519" s="4" t="s">
        <v>363</v>
      </c>
      <c r="C519" s="4" t="s">
        <v>127</v>
      </c>
      <c r="D519" s="4" t="s">
        <v>153</v>
      </c>
      <c r="E519" s="4" t="s">
        <v>13</v>
      </c>
      <c r="F519" s="4" t="s">
        <v>10</v>
      </c>
      <c r="G519" s="4" t="s">
        <v>432</v>
      </c>
    </row>
    <row r="520" customFormat="false" ht="15" hidden="false" customHeight="false" outlineLevel="0" collapsed="false">
      <c r="A520" s="4" t="s">
        <v>362</v>
      </c>
      <c r="B520" s="4" t="s">
        <v>363</v>
      </c>
      <c r="C520" s="4" t="s">
        <v>127</v>
      </c>
      <c r="D520" s="4" t="s">
        <v>153</v>
      </c>
      <c r="E520" s="4" t="s">
        <v>15</v>
      </c>
      <c r="F520" s="4" t="s">
        <v>10</v>
      </c>
      <c r="G520" s="4" t="s">
        <v>150</v>
      </c>
    </row>
    <row r="521" customFormat="false" ht="15" hidden="false" customHeight="false" outlineLevel="0" collapsed="false">
      <c r="A521" s="4" t="s">
        <v>362</v>
      </c>
      <c r="B521" s="4" t="s">
        <v>363</v>
      </c>
      <c r="C521" s="4" t="s">
        <v>127</v>
      </c>
      <c r="D521" s="4" t="s">
        <v>153</v>
      </c>
      <c r="E521" s="4" t="s">
        <v>17</v>
      </c>
      <c r="F521" s="4" t="s">
        <v>10</v>
      </c>
      <c r="G521" s="4" t="s">
        <v>432</v>
      </c>
    </row>
    <row r="522" customFormat="false" ht="15" hidden="false" customHeight="false" outlineLevel="0" collapsed="false">
      <c r="A522" s="4" t="s">
        <v>362</v>
      </c>
      <c r="B522" s="4" t="s">
        <v>363</v>
      </c>
      <c r="C522" s="4" t="s">
        <v>127</v>
      </c>
      <c r="D522" s="4" t="s">
        <v>153</v>
      </c>
      <c r="E522" s="4" t="s">
        <v>18</v>
      </c>
      <c r="F522" s="4" t="s">
        <v>10</v>
      </c>
      <c r="G522" s="4" t="s">
        <v>150</v>
      </c>
    </row>
    <row r="523" customFormat="false" ht="15" hidden="false" customHeight="false" outlineLevel="0" collapsed="false">
      <c r="A523" s="4" t="s">
        <v>362</v>
      </c>
      <c r="B523" s="4" t="s">
        <v>363</v>
      </c>
      <c r="C523" s="4" t="s">
        <v>127</v>
      </c>
      <c r="D523" s="4" t="s">
        <v>153</v>
      </c>
      <c r="E523" s="4" t="s">
        <v>19</v>
      </c>
      <c r="F523" s="4" t="s">
        <v>20</v>
      </c>
      <c r="G523" s="4" t="s">
        <v>433</v>
      </c>
    </row>
    <row r="524" customFormat="false" ht="15" hidden="false" customHeight="false" outlineLevel="0" collapsed="false">
      <c r="A524" s="4" t="s">
        <v>362</v>
      </c>
      <c r="B524" s="4" t="s">
        <v>363</v>
      </c>
      <c r="C524" s="4" t="s">
        <v>127</v>
      </c>
      <c r="D524" s="4" t="s">
        <v>153</v>
      </c>
      <c r="E524" s="4" t="s">
        <v>21</v>
      </c>
      <c r="F524" s="4" t="s">
        <v>20</v>
      </c>
      <c r="G524" s="4" t="s">
        <v>432</v>
      </c>
    </row>
    <row r="525" customFormat="false" ht="15" hidden="false" customHeight="false" outlineLevel="0" collapsed="false">
      <c r="A525" s="4" t="s">
        <v>362</v>
      </c>
      <c r="B525" s="4" t="s">
        <v>363</v>
      </c>
      <c r="C525" s="4" t="s">
        <v>127</v>
      </c>
      <c r="D525" s="4" t="s">
        <v>153</v>
      </c>
      <c r="E525" s="4" t="s">
        <v>22</v>
      </c>
      <c r="F525" s="4" t="s">
        <v>20</v>
      </c>
      <c r="G525" s="4" t="s">
        <v>433</v>
      </c>
    </row>
    <row r="526" customFormat="false" ht="15" hidden="false" customHeight="false" outlineLevel="0" collapsed="false">
      <c r="A526" s="4" t="s">
        <v>362</v>
      </c>
      <c r="B526" s="4" t="s">
        <v>363</v>
      </c>
      <c r="C526" s="4" t="s">
        <v>127</v>
      </c>
      <c r="D526" s="4" t="s">
        <v>153</v>
      </c>
      <c r="E526" s="4" t="s">
        <v>24</v>
      </c>
      <c r="F526" s="4" t="s">
        <v>25</v>
      </c>
      <c r="G526" s="4" t="s">
        <v>150</v>
      </c>
    </row>
    <row r="527" customFormat="false" ht="15" hidden="false" customHeight="false" outlineLevel="0" collapsed="false">
      <c r="A527" s="4" t="s">
        <v>362</v>
      </c>
      <c r="B527" s="4" t="s">
        <v>363</v>
      </c>
      <c r="C527" s="4" t="s">
        <v>127</v>
      </c>
      <c r="D527" s="4" t="s">
        <v>153</v>
      </c>
      <c r="E527" s="4" t="s">
        <v>32</v>
      </c>
      <c r="F527" s="4" t="s">
        <v>28</v>
      </c>
      <c r="G527" s="4" t="s">
        <v>150</v>
      </c>
    </row>
    <row r="528" customFormat="false" ht="15" hidden="false" customHeight="false" outlineLevel="0" collapsed="false">
      <c r="A528" s="4" t="s">
        <v>362</v>
      </c>
      <c r="B528" s="4" t="s">
        <v>363</v>
      </c>
      <c r="C528" s="4" t="s">
        <v>127</v>
      </c>
      <c r="D528" s="4" t="s">
        <v>153</v>
      </c>
      <c r="E528" s="4" t="s">
        <v>33</v>
      </c>
      <c r="F528" s="4" t="s">
        <v>28</v>
      </c>
      <c r="G528" s="4" t="s">
        <v>150</v>
      </c>
    </row>
    <row r="529" customFormat="false" ht="15" hidden="false" customHeight="false" outlineLevel="0" collapsed="false">
      <c r="A529" s="4" t="s">
        <v>362</v>
      </c>
      <c r="B529" s="4" t="s">
        <v>363</v>
      </c>
      <c r="C529" s="4" t="s">
        <v>127</v>
      </c>
      <c r="D529" s="4" t="s">
        <v>153</v>
      </c>
      <c r="E529" s="4" t="s">
        <v>41</v>
      </c>
      <c r="F529" s="4" t="s">
        <v>42</v>
      </c>
      <c r="G529" s="4" t="s">
        <v>432</v>
      </c>
    </row>
    <row r="530" customFormat="false" ht="15" hidden="false" customHeight="false" outlineLevel="0" collapsed="false">
      <c r="A530" s="4" t="s">
        <v>362</v>
      </c>
      <c r="B530" s="4" t="s">
        <v>363</v>
      </c>
      <c r="C530" s="4" t="s">
        <v>127</v>
      </c>
      <c r="D530" s="4" t="s">
        <v>153</v>
      </c>
      <c r="E530" s="4" t="s">
        <v>65</v>
      </c>
      <c r="F530" s="4" t="s">
        <v>66</v>
      </c>
      <c r="G530" s="4" t="s">
        <v>432</v>
      </c>
    </row>
    <row r="531" customFormat="false" ht="15" hidden="false" customHeight="false" outlineLevel="0" collapsed="false">
      <c r="A531" s="4" t="s">
        <v>362</v>
      </c>
      <c r="B531" s="4" t="s">
        <v>363</v>
      </c>
      <c r="C531" s="4" t="s">
        <v>127</v>
      </c>
      <c r="D531" s="4" t="s">
        <v>153</v>
      </c>
      <c r="E531" s="4" t="s">
        <v>68</v>
      </c>
      <c r="F531" s="4" t="s">
        <v>69</v>
      </c>
      <c r="G531" s="4" t="s">
        <v>432</v>
      </c>
    </row>
    <row r="532" customFormat="false" ht="15" hidden="false" customHeight="false" outlineLevel="0" collapsed="false">
      <c r="A532" s="4" t="s">
        <v>362</v>
      </c>
      <c r="B532" s="4" t="s">
        <v>363</v>
      </c>
      <c r="C532" s="4" t="s">
        <v>127</v>
      </c>
      <c r="D532" s="4" t="s">
        <v>153</v>
      </c>
      <c r="E532" s="4" t="s">
        <v>73</v>
      </c>
      <c r="F532" s="4" t="s">
        <v>74</v>
      </c>
      <c r="G532" s="4" t="s">
        <v>432</v>
      </c>
    </row>
    <row r="533" customFormat="false" ht="15" hidden="false" customHeight="false" outlineLevel="0" collapsed="false">
      <c r="A533" s="4" t="s">
        <v>362</v>
      </c>
      <c r="B533" s="4" t="s">
        <v>363</v>
      </c>
      <c r="C533" s="4" t="s">
        <v>127</v>
      </c>
      <c r="D533" s="4" t="s">
        <v>153</v>
      </c>
      <c r="E533" s="4" t="s">
        <v>75</v>
      </c>
      <c r="F533" s="4" t="s">
        <v>74</v>
      </c>
      <c r="G533" s="4" t="s">
        <v>432</v>
      </c>
    </row>
    <row r="534" customFormat="false" ht="15" hidden="false" customHeight="false" outlineLevel="0" collapsed="false">
      <c r="A534" s="4" t="s">
        <v>362</v>
      </c>
      <c r="B534" s="4" t="s">
        <v>363</v>
      </c>
      <c r="C534" s="4" t="s">
        <v>127</v>
      </c>
      <c r="D534" s="4" t="s">
        <v>153</v>
      </c>
      <c r="E534" s="4" t="s">
        <v>76</v>
      </c>
      <c r="F534" s="4" t="s">
        <v>74</v>
      </c>
      <c r="G534" s="4" t="s">
        <v>150</v>
      </c>
    </row>
    <row r="535" customFormat="false" ht="15" hidden="false" customHeight="false" outlineLevel="0" collapsed="false">
      <c r="A535" s="4" t="s">
        <v>362</v>
      </c>
      <c r="B535" s="4" t="s">
        <v>363</v>
      </c>
      <c r="C535" s="4" t="s">
        <v>127</v>
      </c>
      <c r="D535" s="4" t="s">
        <v>153</v>
      </c>
      <c r="E535" s="4" t="s">
        <v>80</v>
      </c>
      <c r="F535" s="4" t="s">
        <v>79</v>
      </c>
      <c r="G535" s="4" t="s">
        <v>150</v>
      </c>
    </row>
    <row r="536" customFormat="false" ht="15" hidden="false" customHeight="false" outlineLevel="0" collapsed="false">
      <c r="A536" s="4" t="s">
        <v>365</v>
      </c>
      <c r="B536" s="4" t="s">
        <v>366</v>
      </c>
      <c r="C536" s="4" t="s">
        <v>127</v>
      </c>
      <c r="D536" s="4" t="s">
        <v>153</v>
      </c>
      <c r="E536" s="4" t="s">
        <v>9</v>
      </c>
      <c r="F536" s="4" t="s">
        <v>10</v>
      </c>
      <c r="G536" s="4" t="s">
        <v>150</v>
      </c>
    </row>
    <row r="537" customFormat="false" ht="15" hidden="false" customHeight="false" outlineLevel="0" collapsed="false">
      <c r="A537" s="4" t="s">
        <v>365</v>
      </c>
      <c r="B537" s="4" t="s">
        <v>366</v>
      </c>
      <c r="C537" s="4" t="s">
        <v>127</v>
      </c>
      <c r="D537" s="4" t="s">
        <v>153</v>
      </c>
      <c r="E537" s="4" t="s">
        <v>17</v>
      </c>
      <c r="F537" s="4" t="s">
        <v>10</v>
      </c>
      <c r="G537" s="4" t="s">
        <v>150</v>
      </c>
    </row>
    <row r="538" customFormat="false" ht="15" hidden="false" customHeight="false" outlineLevel="0" collapsed="false">
      <c r="A538" s="4" t="s">
        <v>365</v>
      </c>
      <c r="B538" s="4" t="s">
        <v>366</v>
      </c>
      <c r="C538" s="4" t="s">
        <v>127</v>
      </c>
      <c r="D538" s="4" t="s">
        <v>153</v>
      </c>
      <c r="E538" s="4" t="s">
        <v>34</v>
      </c>
      <c r="F538" s="4" t="s">
        <v>28</v>
      </c>
      <c r="G538" s="4" t="s">
        <v>150</v>
      </c>
    </row>
    <row r="539" customFormat="false" ht="15" hidden="false" customHeight="false" outlineLevel="0" collapsed="false">
      <c r="A539" s="4" t="s">
        <v>365</v>
      </c>
      <c r="B539" s="4" t="s">
        <v>366</v>
      </c>
      <c r="C539" s="4" t="s">
        <v>127</v>
      </c>
      <c r="D539" s="4" t="s">
        <v>153</v>
      </c>
      <c r="E539" s="4" t="s">
        <v>41</v>
      </c>
      <c r="F539" s="4" t="s">
        <v>42</v>
      </c>
      <c r="G539" s="4" t="s">
        <v>432</v>
      </c>
    </row>
    <row r="540" customFormat="false" ht="15" hidden="false" customHeight="false" outlineLevel="0" collapsed="false">
      <c r="A540" s="4" t="s">
        <v>365</v>
      </c>
      <c r="B540" s="4" t="s">
        <v>366</v>
      </c>
      <c r="C540" s="4" t="s">
        <v>127</v>
      </c>
      <c r="D540" s="4" t="s">
        <v>153</v>
      </c>
      <c r="E540" s="4" t="s">
        <v>45</v>
      </c>
      <c r="F540" s="4" t="s">
        <v>44</v>
      </c>
      <c r="G540" s="4" t="s">
        <v>433</v>
      </c>
    </row>
    <row r="541" customFormat="false" ht="15" hidden="false" customHeight="false" outlineLevel="0" collapsed="false">
      <c r="A541" s="4" t="s">
        <v>365</v>
      </c>
      <c r="B541" s="4" t="s">
        <v>366</v>
      </c>
      <c r="C541" s="4" t="s">
        <v>127</v>
      </c>
      <c r="D541" s="4" t="s">
        <v>153</v>
      </c>
      <c r="E541" s="4" t="s">
        <v>46</v>
      </c>
      <c r="F541" s="4" t="s">
        <v>44</v>
      </c>
      <c r="G541" s="4" t="s">
        <v>433</v>
      </c>
    </row>
    <row r="542" customFormat="false" ht="15" hidden="false" customHeight="false" outlineLevel="0" collapsed="false">
      <c r="A542" s="4" t="s">
        <v>365</v>
      </c>
      <c r="B542" s="4" t="s">
        <v>366</v>
      </c>
      <c r="C542" s="4" t="s">
        <v>127</v>
      </c>
      <c r="D542" s="4" t="s">
        <v>153</v>
      </c>
      <c r="E542" s="4" t="s">
        <v>49</v>
      </c>
      <c r="F542" s="4" t="s">
        <v>44</v>
      </c>
      <c r="G542" s="4" t="s">
        <v>433</v>
      </c>
    </row>
    <row r="543" customFormat="false" ht="15" hidden="false" customHeight="false" outlineLevel="0" collapsed="false">
      <c r="A543" s="4" t="s">
        <v>365</v>
      </c>
      <c r="B543" s="4" t="s">
        <v>366</v>
      </c>
      <c r="C543" s="4" t="s">
        <v>127</v>
      </c>
      <c r="D543" s="4" t="s">
        <v>153</v>
      </c>
      <c r="E543" s="4" t="s">
        <v>51</v>
      </c>
      <c r="F543" s="4" t="s">
        <v>44</v>
      </c>
      <c r="G543" s="4" t="s">
        <v>433</v>
      </c>
    </row>
    <row r="544" customFormat="false" ht="15" hidden="false" customHeight="false" outlineLevel="0" collapsed="false">
      <c r="A544" s="4" t="s">
        <v>365</v>
      </c>
      <c r="B544" s="4" t="s">
        <v>366</v>
      </c>
      <c r="C544" s="4" t="s">
        <v>127</v>
      </c>
      <c r="D544" s="4" t="s">
        <v>153</v>
      </c>
      <c r="E544" s="4" t="s">
        <v>61</v>
      </c>
      <c r="F544" s="4" t="s">
        <v>57</v>
      </c>
      <c r="G544" s="4" t="s">
        <v>433</v>
      </c>
    </row>
    <row r="545" customFormat="false" ht="15" hidden="false" customHeight="false" outlineLevel="0" collapsed="false">
      <c r="A545" s="4" t="s">
        <v>365</v>
      </c>
      <c r="B545" s="4" t="s">
        <v>366</v>
      </c>
      <c r="C545" s="4" t="s">
        <v>127</v>
      </c>
      <c r="D545" s="4" t="s">
        <v>153</v>
      </c>
      <c r="E545" s="4" t="s">
        <v>68</v>
      </c>
      <c r="F545" s="4" t="s">
        <v>69</v>
      </c>
      <c r="G545" s="4" t="s">
        <v>432</v>
      </c>
    </row>
    <row r="546" customFormat="false" ht="15" hidden="false" customHeight="false" outlineLevel="0" collapsed="false">
      <c r="A546" s="4" t="s">
        <v>365</v>
      </c>
      <c r="B546" s="4" t="s">
        <v>366</v>
      </c>
      <c r="C546" s="4" t="s">
        <v>127</v>
      </c>
      <c r="D546" s="4" t="s">
        <v>153</v>
      </c>
      <c r="E546" s="4" t="s">
        <v>70</v>
      </c>
      <c r="F546" s="4" t="s">
        <v>69</v>
      </c>
      <c r="G546" s="4" t="s">
        <v>432</v>
      </c>
    </row>
    <row r="547" customFormat="false" ht="15" hidden="false" customHeight="false" outlineLevel="0" collapsed="false">
      <c r="A547" s="4" t="s">
        <v>365</v>
      </c>
      <c r="B547" s="4" t="s">
        <v>366</v>
      </c>
      <c r="C547" s="4" t="s">
        <v>127</v>
      </c>
      <c r="D547" s="4" t="s">
        <v>153</v>
      </c>
      <c r="E547" s="4" t="s">
        <v>77</v>
      </c>
      <c r="F547" s="4" t="s">
        <v>74</v>
      </c>
      <c r="G547" s="4" t="s">
        <v>433</v>
      </c>
    </row>
    <row r="548" customFormat="false" ht="15" hidden="false" customHeight="false" outlineLevel="0" collapsed="false">
      <c r="A548" s="4" t="s">
        <v>367</v>
      </c>
      <c r="B548" s="4" t="s">
        <v>368</v>
      </c>
      <c r="C548" s="4" t="s">
        <v>127</v>
      </c>
      <c r="D548" s="4" t="s">
        <v>153</v>
      </c>
      <c r="E548" s="4" t="s">
        <v>9</v>
      </c>
      <c r="F548" s="4" t="s">
        <v>10</v>
      </c>
      <c r="G548" s="4" t="s">
        <v>433</v>
      </c>
    </row>
    <row r="549" customFormat="false" ht="15" hidden="false" customHeight="false" outlineLevel="0" collapsed="false">
      <c r="A549" s="4" t="s">
        <v>367</v>
      </c>
      <c r="B549" s="4" t="s">
        <v>368</v>
      </c>
      <c r="C549" s="4" t="s">
        <v>127</v>
      </c>
      <c r="D549" s="4" t="s">
        <v>153</v>
      </c>
      <c r="E549" s="4" t="s">
        <v>11</v>
      </c>
      <c r="F549" s="4" t="s">
        <v>10</v>
      </c>
      <c r="G549" s="4" t="s">
        <v>433</v>
      </c>
    </row>
    <row r="550" customFormat="false" ht="15" hidden="false" customHeight="false" outlineLevel="0" collapsed="false">
      <c r="A550" s="4" t="s">
        <v>367</v>
      </c>
      <c r="B550" s="4" t="s">
        <v>368</v>
      </c>
      <c r="C550" s="4" t="s">
        <v>127</v>
      </c>
      <c r="D550" s="4" t="s">
        <v>153</v>
      </c>
      <c r="E550" s="4" t="s">
        <v>22</v>
      </c>
      <c r="F550" s="4" t="s">
        <v>20</v>
      </c>
      <c r="G550" s="4" t="s">
        <v>433</v>
      </c>
    </row>
    <row r="551" customFormat="false" ht="15" hidden="false" customHeight="false" outlineLevel="0" collapsed="false">
      <c r="A551" s="4" t="s">
        <v>367</v>
      </c>
      <c r="B551" s="4" t="s">
        <v>368</v>
      </c>
      <c r="C551" s="4" t="s">
        <v>127</v>
      </c>
      <c r="D551" s="4" t="s">
        <v>153</v>
      </c>
      <c r="E551" s="4" t="s">
        <v>41</v>
      </c>
      <c r="F551" s="4" t="s">
        <v>42</v>
      </c>
      <c r="G551" s="4" t="s">
        <v>433</v>
      </c>
    </row>
    <row r="552" customFormat="false" ht="15" hidden="false" customHeight="false" outlineLevel="0" collapsed="false">
      <c r="A552" s="4" t="s">
        <v>367</v>
      </c>
      <c r="B552" s="4" t="s">
        <v>368</v>
      </c>
      <c r="C552" s="4" t="s">
        <v>127</v>
      </c>
      <c r="D552" s="4" t="s">
        <v>153</v>
      </c>
      <c r="E552" s="4" t="s">
        <v>65</v>
      </c>
      <c r="F552" s="4" t="s">
        <v>66</v>
      </c>
      <c r="G552" s="4" t="s">
        <v>433</v>
      </c>
    </row>
    <row r="553" customFormat="false" ht="15" hidden="false" customHeight="false" outlineLevel="0" collapsed="false">
      <c r="A553" s="4" t="s">
        <v>367</v>
      </c>
      <c r="B553" s="4" t="s">
        <v>368</v>
      </c>
      <c r="C553" s="4" t="s">
        <v>127</v>
      </c>
      <c r="D553" s="4" t="s">
        <v>153</v>
      </c>
      <c r="E553" s="4" t="s">
        <v>68</v>
      </c>
      <c r="F553" s="4" t="s">
        <v>69</v>
      </c>
      <c r="G553" s="4" t="s">
        <v>432</v>
      </c>
    </row>
    <row r="554" customFormat="false" ht="15" hidden="false" customHeight="false" outlineLevel="0" collapsed="false">
      <c r="A554" s="4" t="s">
        <v>367</v>
      </c>
      <c r="B554" s="4" t="s">
        <v>368</v>
      </c>
      <c r="C554" s="4" t="s">
        <v>127</v>
      </c>
      <c r="D554" s="4" t="s">
        <v>153</v>
      </c>
      <c r="E554" s="4" t="s">
        <v>86</v>
      </c>
      <c r="F554" s="4" t="s">
        <v>79</v>
      </c>
      <c r="G554" s="4" t="s">
        <v>433</v>
      </c>
    </row>
    <row r="555" customFormat="false" ht="15" hidden="false" customHeight="false" outlineLevel="0" collapsed="false">
      <c r="A555" s="4" t="s">
        <v>367</v>
      </c>
      <c r="B555" s="4" t="s">
        <v>368</v>
      </c>
      <c r="C555" s="4" t="s">
        <v>127</v>
      </c>
      <c r="D555" s="4" t="s">
        <v>153</v>
      </c>
      <c r="E555" s="4" t="s">
        <v>97</v>
      </c>
      <c r="F555" s="4" t="s">
        <v>98</v>
      </c>
      <c r="G555" s="4" t="s">
        <v>433</v>
      </c>
    </row>
    <row r="556" customFormat="false" ht="15" hidden="false" customHeight="false" outlineLevel="0" collapsed="false">
      <c r="A556" s="4" t="s">
        <v>367</v>
      </c>
      <c r="B556" s="4" t="s">
        <v>368</v>
      </c>
      <c r="C556" s="4" t="s">
        <v>127</v>
      </c>
      <c r="D556" s="4" t="s">
        <v>153</v>
      </c>
      <c r="E556" s="4" t="s">
        <v>102</v>
      </c>
      <c r="F556" s="4" t="s">
        <v>101</v>
      </c>
      <c r="G556" s="4" t="s">
        <v>150</v>
      </c>
    </row>
    <row r="557" customFormat="false" ht="15" hidden="false" customHeight="false" outlineLevel="0" collapsed="false">
      <c r="A557" s="4" t="s">
        <v>372</v>
      </c>
      <c r="B557" s="4" t="s">
        <v>373</v>
      </c>
      <c r="C557" s="4" t="s">
        <v>128</v>
      </c>
      <c r="D557" s="4" t="s">
        <v>153</v>
      </c>
      <c r="E557" s="4" t="s">
        <v>9</v>
      </c>
      <c r="F557" s="4" t="s">
        <v>10</v>
      </c>
      <c r="G557" s="4" t="s">
        <v>432</v>
      </c>
    </row>
    <row r="558" customFormat="false" ht="15" hidden="false" customHeight="false" outlineLevel="0" collapsed="false">
      <c r="A558" s="4" t="s">
        <v>372</v>
      </c>
      <c r="B558" s="4" t="s">
        <v>373</v>
      </c>
      <c r="C558" s="4" t="s">
        <v>128</v>
      </c>
      <c r="D558" s="4" t="s">
        <v>153</v>
      </c>
      <c r="E558" s="4" t="s">
        <v>11</v>
      </c>
      <c r="F558" s="4" t="s">
        <v>10</v>
      </c>
      <c r="G558" s="4" t="s">
        <v>432</v>
      </c>
    </row>
    <row r="559" customFormat="false" ht="15" hidden="false" customHeight="false" outlineLevel="0" collapsed="false">
      <c r="A559" s="4" t="s">
        <v>372</v>
      </c>
      <c r="B559" s="4" t="s">
        <v>373</v>
      </c>
      <c r="C559" s="4" t="s">
        <v>128</v>
      </c>
      <c r="D559" s="4" t="s">
        <v>153</v>
      </c>
      <c r="E559" s="4" t="s">
        <v>12</v>
      </c>
      <c r="F559" s="4" t="s">
        <v>10</v>
      </c>
      <c r="G559" s="4" t="s">
        <v>150</v>
      </c>
    </row>
    <row r="560" customFormat="false" ht="15" hidden="false" customHeight="false" outlineLevel="0" collapsed="false">
      <c r="A560" s="4" t="s">
        <v>372</v>
      </c>
      <c r="B560" s="4" t="s">
        <v>373</v>
      </c>
      <c r="C560" s="4" t="s">
        <v>128</v>
      </c>
      <c r="D560" s="4" t="s">
        <v>153</v>
      </c>
      <c r="E560" s="4" t="s">
        <v>13</v>
      </c>
      <c r="F560" s="4" t="s">
        <v>10</v>
      </c>
      <c r="G560" s="4" t="s">
        <v>150</v>
      </c>
    </row>
    <row r="561" customFormat="false" ht="15" hidden="false" customHeight="false" outlineLevel="0" collapsed="false">
      <c r="A561" s="4" t="s">
        <v>372</v>
      </c>
      <c r="B561" s="4" t="s">
        <v>373</v>
      </c>
      <c r="C561" s="4" t="s">
        <v>128</v>
      </c>
      <c r="D561" s="4" t="s">
        <v>153</v>
      </c>
      <c r="E561" s="4" t="s">
        <v>16</v>
      </c>
      <c r="F561" s="4" t="s">
        <v>10</v>
      </c>
      <c r="G561" s="4" t="s">
        <v>150</v>
      </c>
    </row>
    <row r="562" customFormat="false" ht="15" hidden="false" customHeight="false" outlineLevel="0" collapsed="false">
      <c r="A562" s="4" t="s">
        <v>372</v>
      </c>
      <c r="B562" s="4" t="s">
        <v>373</v>
      </c>
      <c r="C562" s="4" t="s">
        <v>128</v>
      </c>
      <c r="D562" s="4" t="s">
        <v>153</v>
      </c>
      <c r="E562" s="4" t="s">
        <v>17</v>
      </c>
      <c r="F562" s="4" t="s">
        <v>10</v>
      </c>
      <c r="G562" s="4" t="s">
        <v>150</v>
      </c>
    </row>
    <row r="563" customFormat="false" ht="15" hidden="false" customHeight="false" outlineLevel="0" collapsed="false">
      <c r="A563" s="4" t="s">
        <v>372</v>
      </c>
      <c r="B563" s="4" t="s">
        <v>373</v>
      </c>
      <c r="C563" s="4" t="s">
        <v>128</v>
      </c>
      <c r="D563" s="4" t="s">
        <v>153</v>
      </c>
      <c r="E563" s="4" t="s">
        <v>22</v>
      </c>
      <c r="F563" s="4" t="s">
        <v>20</v>
      </c>
      <c r="G563" s="4" t="s">
        <v>433</v>
      </c>
    </row>
    <row r="564" customFormat="false" ht="15" hidden="false" customHeight="false" outlineLevel="0" collapsed="false">
      <c r="A564" s="4" t="s">
        <v>372</v>
      </c>
      <c r="B564" s="4" t="s">
        <v>373</v>
      </c>
      <c r="C564" s="4" t="s">
        <v>128</v>
      </c>
      <c r="D564" s="4" t="s">
        <v>153</v>
      </c>
      <c r="E564" s="4" t="s">
        <v>27</v>
      </c>
      <c r="F564" s="4" t="s">
        <v>28</v>
      </c>
      <c r="G564" s="4" t="s">
        <v>150</v>
      </c>
    </row>
    <row r="565" customFormat="false" ht="15" hidden="false" customHeight="false" outlineLevel="0" collapsed="false">
      <c r="A565" s="4" t="s">
        <v>372</v>
      </c>
      <c r="B565" s="4" t="s">
        <v>373</v>
      </c>
      <c r="C565" s="4" t="s">
        <v>128</v>
      </c>
      <c r="D565" s="4" t="s">
        <v>153</v>
      </c>
      <c r="E565" s="4" t="s">
        <v>32</v>
      </c>
      <c r="F565" s="4" t="s">
        <v>28</v>
      </c>
      <c r="G565" s="4" t="s">
        <v>150</v>
      </c>
    </row>
    <row r="566" customFormat="false" ht="15" hidden="false" customHeight="false" outlineLevel="0" collapsed="false">
      <c r="A566" s="4" t="s">
        <v>372</v>
      </c>
      <c r="B566" s="4" t="s">
        <v>373</v>
      </c>
      <c r="C566" s="4" t="s">
        <v>128</v>
      </c>
      <c r="D566" s="4" t="s">
        <v>153</v>
      </c>
      <c r="E566" s="4" t="s">
        <v>41</v>
      </c>
      <c r="F566" s="4" t="s">
        <v>42</v>
      </c>
      <c r="G566" s="4" t="s">
        <v>150</v>
      </c>
    </row>
    <row r="567" customFormat="false" ht="15" hidden="false" customHeight="false" outlineLevel="0" collapsed="false">
      <c r="A567" s="4" t="s">
        <v>372</v>
      </c>
      <c r="B567" s="4" t="s">
        <v>373</v>
      </c>
      <c r="C567" s="4" t="s">
        <v>128</v>
      </c>
      <c r="D567" s="4" t="s">
        <v>153</v>
      </c>
      <c r="E567" s="4" t="s">
        <v>65</v>
      </c>
      <c r="F567" s="4" t="s">
        <v>66</v>
      </c>
      <c r="G567" s="4" t="s">
        <v>432</v>
      </c>
    </row>
    <row r="568" customFormat="false" ht="15" hidden="false" customHeight="false" outlineLevel="0" collapsed="false">
      <c r="A568" s="4" t="s">
        <v>372</v>
      </c>
      <c r="B568" s="4" t="s">
        <v>373</v>
      </c>
      <c r="C568" s="4" t="s">
        <v>128</v>
      </c>
      <c r="D568" s="4" t="s">
        <v>153</v>
      </c>
      <c r="E568" s="4" t="s">
        <v>68</v>
      </c>
      <c r="F568" s="4" t="s">
        <v>69</v>
      </c>
      <c r="G568" s="4" t="s">
        <v>432</v>
      </c>
    </row>
    <row r="569" customFormat="false" ht="15" hidden="false" customHeight="false" outlineLevel="0" collapsed="false">
      <c r="A569" s="4" t="s">
        <v>372</v>
      </c>
      <c r="B569" s="4" t="s">
        <v>373</v>
      </c>
      <c r="C569" s="4" t="s">
        <v>128</v>
      </c>
      <c r="D569" s="4" t="s">
        <v>153</v>
      </c>
      <c r="E569" s="4" t="s">
        <v>73</v>
      </c>
      <c r="F569" s="4" t="s">
        <v>74</v>
      </c>
      <c r="G569" s="4" t="s">
        <v>432</v>
      </c>
    </row>
    <row r="570" customFormat="false" ht="15" hidden="false" customHeight="false" outlineLevel="0" collapsed="false">
      <c r="A570" s="4" t="s">
        <v>372</v>
      </c>
      <c r="B570" s="4" t="s">
        <v>373</v>
      </c>
      <c r="C570" s="4" t="s">
        <v>128</v>
      </c>
      <c r="D570" s="4" t="s">
        <v>153</v>
      </c>
      <c r="E570" s="4" t="s">
        <v>75</v>
      </c>
      <c r="F570" s="4" t="s">
        <v>74</v>
      </c>
      <c r="G570" s="4" t="s">
        <v>432</v>
      </c>
    </row>
    <row r="571" customFormat="false" ht="15" hidden="false" customHeight="false" outlineLevel="0" collapsed="false">
      <c r="A571" s="4" t="s">
        <v>372</v>
      </c>
      <c r="B571" s="4" t="s">
        <v>373</v>
      </c>
      <c r="C571" s="4" t="s">
        <v>128</v>
      </c>
      <c r="D571" s="4" t="s">
        <v>153</v>
      </c>
      <c r="E571" s="4" t="s">
        <v>76</v>
      </c>
      <c r="F571" s="4" t="s">
        <v>74</v>
      </c>
      <c r="G571" s="4" t="s">
        <v>150</v>
      </c>
    </row>
    <row r="572" customFormat="false" ht="15" hidden="false" customHeight="false" outlineLevel="0" collapsed="false">
      <c r="A572" s="4" t="s">
        <v>372</v>
      </c>
      <c r="B572" s="4" t="s">
        <v>373</v>
      </c>
      <c r="C572" s="4" t="s">
        <v>128</v>
      </c>
      <c r="D572" s="4" t="s">
        <v>153</v>
      </c>
      <c r="E572" s="4" t="s">
        <v>78</v>
      </c>
      <c r="F572" s="4" t="s">
        <v>79</v>
      </c>
      <c r="G572" s="4" t="s">
        <v>432</v>
      </c>
    </row>
    <row r="573" customFormat="false" ht="15" hidden="false" customHeight="false" outlineLevel="0" collapsed="false">
      <c r="A573" s="4" t="s">
        <v>372</v>
      </c>
      <c r="B573" s="4" t="s">
        <v>373</v>
      </c>
      <c r="C573" s="4" t="s">
        <v>128</v>
      </c>
      <c r="D573" s="4" t="s">
        <v>153</v>
      </c>
      <c r="E573" s="4" t="s">
        <v>81</v>
      </c>
      <c r="F573" s="4" t="s">
        <v>79</v>
      </c>
      <c r="G573" s="4" t="s">
        <v>432</v>
      </c>
    </row>
    <row r="574" customFormat="false" ht="15" hidden="false" customHeight="false" outlineLevel="0" collapsed="false">
      <c r="A574" s="4" t="s">
        <v>372</v>
      </c>
      <c r="B574" s="4" t="s">
        <v>373</v>
      </c>
      <c r="C574" s="4" t="s">
        <v>128</v>
      </c>
      <c r="D574" s="4" t="s">
        <v>153</v>
      </c>
      <c r="E574" s="4" t="s">
        <v>102</v>
      </c>
      <c r="F574" s="4" t="s">
        <v>101</v>
      </c>
      <c r="G574" s="4" t="s">
        <v>150</v>
      </c>
    </row>
    <row r="575" customFormat="false" ht="15" hidden="false" customHeight="false" outlineLevel="0" collapsed="false">
      <c r="A575" s="4" t="s">
        <v>376</v>
      </c>
      <c r="B575" s="4" t="s">
        <v>377</v>
      </c>
      <c r="C575" s="4" t="s">
        <v>128</v>
      </c>
      <c r="D575" s="4" t="s">
        <v>153</v>
      </c>
      <c r="E575" s="4" t="s">
        <v>65</v>
      </c>
      <c r="F575" s="4" t="s">
        <v>66</v>
      </c>
      <c r="G575" s="4" t="s">
        <v>433</v>
      </c>
    </row>
    <row r="576" customFormat="false" ht="15" hidden="false" customHeight="false" outlineLevel="0" collapsed="false">
      <c r="A576" s="4" t="s">
        <v>381</v>
      </c>
      <c r="B576" s="4" t="s">
        <v>382</v>
      </c>
      <c r="C576" s="4" t="s">
        <v>129</v>
      </c>
      <c r="D576" s="4" t="s">
        <v>153</v>
      </c>
      <c r="E576" s="4" t="s">
        <v>9</v>
      </c>
      <c r="F576" s="4" t="s">
        <v>10</v>
      </c>
      <c r="G576" s="4" t="s">
        <v>433</v>
      </c>
    </row>
    <row r="577" customFormat="false" ht="15" hidden="false" customHeight="false" outlineLevel="0" collapsed="false">
      <c r="A577" s="4" t="s">
        <v>381</v>
      </c>
      <c r="B577" s="4" t="s">
        <v>382</v>
      </c>
      <c r="C577" s="4" t="s">
        <v>129</v>
      </c>
      <c r="D577" s="4" t="s">
        <v>153</v>
      </c>
      <c r="E577" s="4" t="s">
        <v>11</v>
      </c>
      <c r="F577" s="4" t="s">
        <v>10</v>
      </c>
      <c r="G577" s="4" t="s">
        <v>433</v>
      </c>
    </row>
    <row r="578" customFormat="false" ht="15" hidden="false" customHeight="false" outlineLevel="0" collapsed="false">
      <c r="A578" s="4" t="s">
        <v>381</v>
      </c>
      <c r="B578" s="4" t="s">
        <v>382</v>
      </c>
      <c r="C578" s="4" t="s">
        <v>129</v>
      </c>
      <c r="D578" s="4" t="s">
        <v>153</v>
      </c>
      <c r="E578" s="4" t="s">
        <v>22</v>
      </c>
      <c r="F578" s="4" t="s">
        <v>20</v>
      </c>
      <c r="G578" s="4" t="s">
        <v>433</v>
      </c>
    </row>
    <row r="579" customFormat="false" ht="15" hidden="false" customHeight="false" outlineLevel="0" collapsed="false">
      <c r="A579" s="4" t="s">
        <v>381</v>
      </c>
      <c r="B579" s="4" t="s">
        <v>382</v>
      </c>
      <c r="C579" s="4" t="s">
        <v>129</v>
      </c>
      <c r="D579" s="4" t="s">
        <v>153</v>
      </c>
      <c r="E579" s="4" t="s">
        <v>61</v>
      </c>
      <c r="F579" s="4" t="s">
        <v>57</v>
      </c>
      <c r="G579" s="4" t="s">
        <v>433</v>
      </c>
    </row>
    <row r="580" customFormat="false" ht="15" hidden="false" customHeight="false" outlineLevel="0" collapsed="false">
      <c r="A580" s="4" t="s">
        <v>381</v>
      </c>
      <c r="B580" s="4" t="s">
        <v>382</v>
      </c>
      <c r="C580" s="4" t="s">
        <v>129</v>
      </c>
      <c r="D580" s="4" t="s">
        <v>153</v>
      </c>
      <c r="E580" s="4" t="s">
        <v>67</v>
      </c>
      <c r="F580" s="4" t="s">
        <v>66</v>
      </c>
      <c r="G580" s="4" t="s">
        <v>432</v>
      </c>
    </row>
    <row r="581" customFormat="false" ht="15" hidden="false" customHeight="false" outlineLevel="0" collapsed="false">
      <c r="A581" s="4" t="s">
        <v>381</v>
      </c>
      <c r="B581" s="4" t="s">
        <v>382</v>
      </c>
      <c r="C581" s="4" t="s">
        <v>129</v>
      </c>
      <c r="D581" s="4" t="s">
        <v>153</v>
      </c>
      <c r="E581" s="4" t="s">
        <v>70</v>
      </c>
      <c r="F581" s="4" t="s">
        <v>69</v>
      </c>
      <c r="G581" s="4" t="s">
        <v>433</v>
      </c>
    </row>
    <row r="582" customFormat="false" ht="15" hidden="false" customHeight="false" outlineLevel="0" collapsed="false">
      <c r="A582" s="4" t="s">
        <v>385</v>
      </c>
      <c r="B582" s="4" t="s">
        <v>386</v>
      </c>
      <c r="C582" s="4" t="s">
        <v>129</v>
      </c>
      <c r="D582" s="4" t="s">
        <v>153</v>
      </c>
      <c r="E582" s="4" t="s">
        <v>9</v>
      </c>
      <c r="F582" s="4" t="s">
        <v>10</v>
      </c>
      <c r="G582" s="4" t="s">
        <v>432</v>
      </c>
    </row>
    <row r="583" customFormat="false" ht="15" hidden="false" customHeight="false" outlineLevel="0" collapsed="false">
      <c r="A583" s="4" t="s">
        <v>385</v>
      </c>
      <c r="B583" s="4" t="s">
        <v>386</v>
      </c>
      <c r="C583" s="4" t="s">
        <v>129</v>
      </c>
      <c r="D583" s="4" t="s">
        <v>153</v>
      </c>
      <c r="E583" s="4" t="s">
        <v>11</v>
      </c>
      <c r="F583" s="4" t="s">
        <v>10</v>
      </c>
      <c r="G583" s="4" t="s">
        <v>432</v>
      </c>
    </row>
    <row r="584" customFormat="false" ht="15" hidden="false" customHeight="false" outlineLevel="0" collapsed="false">
      <c r="A584" s="4" t="s">
        <v>385</v>
      </c>
      <c r="B584" s="4" t="s">
        <v>386</v>
      </c>
      <c r="C584" s="4" t="s">
        <v>129</v>
      </c>
      <c r="D584" s="4" t="s">
        <v>153</v>
      </c>
      <c r="E584" s="4" t="s">
        <v>12</v>
      </c>
      <c r="F584" s="4" t="s">
        <v>10</v>
      </c>
      <c r="G584" s="4" t="s">
        <v>432</v>
      </c>
    </row>
    <row r="585" customFormat="false" ht="15" hidden="false" customHeight="false" outlineLevel="0" collapsed="false">
      <c r="A585" s="4" t="s">
        <v>385</v>
      </c>
      <c r="B585" s="4" t="s">
        <v>386</v>
      </c>
      <c r="C585" s="4" t="s">
        <v>129</v>
      </c>
      <c r="D585" s="4" t="s">
        <v>153</v>
      </c>
      <c r="E585" s="4" t="s">
        <v>21</v>
      </c>
      <c r="F585" s="4" t="s">
        <v>20</v>
      </c>
      <c r="G585" s="4" t="s">
        <v>150</v>
      </c>
    </row>
    <row r="586" customFormat="false" ht="15" hidden="false" customHeight="false" outlineLevel="0" collapsed="false">
      <c r="A586" s="4" t="s">
        <v>385</v>
      </c>
      <c r="B586" s="4" t="s">
        <v>386</v>
      </c>
      <c r="C586" s="4" t="s">
        <v>129</v>
      </c>
      <c r="D586" s="4" t="s">
        <v>153</v>
      </c>
      <c r="E586" s="4" t="s">
        <v>41</v>
      </c>
      <c r="F586" s="4" t="s">
        <v>42</v>
      </c>
      <c r="G586" s="4" t="s">
        <v>432</v>
      </c>
    </row>
    <row r="587" customFormat="false" ht="15" hidden="false" customHeight="false" outlineLevel="0" collapsed="false">
      <c r="A587" s="4" t="s">
        <v>385</v>
      </c>
      <c r="B587" s="4" t="s">
        <v>386</v>
      </c>
      <c r="C587" s="4" t="s">
        <v>129</v>
      </c>
      <c r="D587" s="4" t="s">
        <v>153</v>
      </c>
      <c r="E587" s="4" t="s">
        <v>61</v>
      </c>
      <c r="F587" s="4" t="s">
        <v>57</v>
      </c>
      <c r="G587" s="4" t="s">
        <v>433</v>
      </c>
    </row>
    <row r="588" customFormat="false" ht="15" hidden="false" customHeight="false" outlineLevel="0" collapsed="false">
      <c r="A588" s="4" t="s">
        <v>385</v>
      </c>
      <c r="B588" s="4" t="s">
        <v>386</v>
      </c>
      <c r="C588" s="4" t="s">
        <v>129</v>
      </c>
      <c r="D588" s="4" t="s">
        <v>153</v>
      </c>
      <c r="E588" s="4" t="s">
        <v>65</v>
      </c>
      <c r="F588" s="4" t="s">
        <v>66</v>
      </c>
      <c r="G588" s="4" t="s">
        <v>432</v>
      </c>
    </row>
    <row r="589" customFormat="false" ht="15" hidden="false" customHeight="false" outlineLevel="0" collapsed="false">
      <c r="A589" s="4" t="s">
        <v>385</v>
      </c>
      <c r="B589" s="4" t="s">
        <v>386</v>
      </c>
      <c r="C589" s="4" t="s">
        <v>129</v>
      </c>
      <c r="D589" s="4" t="s">
        <v>153</v>
      </c>
      <c r="E589" s="4" t="s">
        <v>68</v>
      </c>
      <c r="F589" s="4" t="s">
        <v>69</v>
      </c>
      <c r="G589" s="4" t="s">
        <v>432</v>
      </c>
    </row>
    <row r="590" customFormat="false" ht="15" hidden="false" customHeight="false" outlineLevel="0" collapsed="false">
      <c r="A590" s="4" t="s">
        <v>385</v>
      </c>
      <c r="B590" s="4" t="s">
        <v>386</v>
      </c>
      <c r="C590" s="4" t="s">
        <v>129</v>
      </c>
      <c r="D590" s="4" t="s">
        <v>153</v>
      </c>
      <c r="E590" s="4" t="s">
        <v>70</v>
      </c>
      <c r="F590" s="4" t="s">
        <v>69</v>
      </c>
      <c r="G590" s="4" t="s">
        <v>432</v>
      </c>
    </row>
    <row r="591" customFormat="false" ht="15" hidden="false" customHeight="false" outlineLevel="0" collapsed="false">
      <c r="A591" s="4" t="s">
        <v>385</v>
      </c>
      <c r="B591" s="4" t="s">
        <v>386</v>
      </c>
      <c r="C591" s="4" t="s">
        <v>129</v>
      </c>
      <c r="D591" s="4" t="s">
        <v>153</v>
      </c>
      <c r="E591" s="4" t="s">
        <v>73</v>
      </c>
      <c r="F591" s="4" t="s">
        <v>74</v>
      </c>
      <c r="G591" s="4" t="s">
        <v>432</v>
      </c>
    </row>
    <row r="592" customFormat="false" ht="15" hidden="false" customHeight="false" outlineLevel="0" collapsed="false">
      <c r="A592" s="4" t="s">
        <v>385</v>
      </c>
      <c r="B592" s="4" t="s">
        <v>386</v>
      </c>
      <c r="C592" s="4" t="s">
        <v>129</v>
      </c>
      <c r="D592" s="4" t="s">
        <v>153</v>
      </c>
      <c r="E592" s="4" t="s">
        <v>75</v>
      </c>
      <c r="F592" s="4" t="s">
        <v>74</v>
      </c>
      <c r="G592" s="4" t="s">
        <v>432</v>
      </c>
    </row>
    <row r="593" customFormat="false" ht="15" hidden="false" customHeight="false" outlineLevel="0" collapsed="false">
      <c r="A593" s="4" t="s">
        <v>385</v>
      </c>
      <c r="B593" s="4" t="s">
        <v>386</v>
      </c>
      <c r="C593" s="4" t="s">
        <v>129</v>
      </c>
      <c r="D593" s="4" t="s">
        <v>153</v>
      </c>
      <c r="E593" s="4" t="s">
        <v>76</v>
      </c>
      <c r="F593" s="4" t="s">
        <v>74</v>
      </c>
      <c r="G593" s="4" t="s">
        <v>150</v>
      </c>
    </row>
    <row r="594" customFormat="false" ht="15" hidden="false" customHeight="false" outlineLevel="0" collapsed="false">
      <c r="A594" s="4" t="s">
        <v>385</v>
      </c>
      <c r="B594" s="4" t="s">
        <v>386</v>
      </c>
      <c r="C594" s="4" t="s">
        <v>129</v>
      </c>
      <c r="D594" s="4" t="s">
        <v>153</v>
      </c>
      <c r="E594" s="4" t="s">
        <v>80</v>
      </c>
      <c r="F594" s="4" t="s">
        <v>79</v>
      </c>
      <c r="G594" s="4" t="s">
        <v>432</v>
      </c>
    </row>
    <row r="595" customFormat="false" ht="15" hidden="false" customHeight="false" outlineLevel="0" collapsed="false">
      <c r="A595" s="4" t="s">
        <v>385</v>
      </c>
      <c r="B595" s="4" t="s">
        <v>386</v>
      </c>
      <c r="C595" s="4" t="s">
        <v>129</v>
      </c>
      <c r="D595" s="4" t="s">
        <v>153</v>
      </c>
      <c r="E595" s="4" t="s">
        <v>105</v>
      </c>
      <c r="F595" s="4" t="s">
        <v>101</v>
      </c>
      <c r="G595" s="4" t="s">
        <v>150</v>
      </c>
    </row>
    <row r="596" customFormat="false" ht="15" hidden="false" customHeight="false" outlineLevel="0" collapsed="false">
      <c r="A596" s="4" t="s">
        <v>385</v>
      </c>
      <c r="B596" s="4" t="s">
        <v>386</v>
      </c>
      <c r="C596" s="4" t="s">
        <v>129</v>
      </c>
      <c r="D596" s="4" t="s">
        <v>153</v>
      </c>
      <c r="E596" s="4" t="s">
        <v>108</v>
      </c>
      <c r="F596" s="4" t="s">
        <v>107</v>
      </c>
      <c r="G596" s="4" t="s">
        <v>432</v>
      </c>
    </row>
    <row r="597" customFormat="false" ht="15" hidden="false" customHeight="false" outlineLevel="0" collapsed="false">
      <c r="A597" s="4" t="s">
        <v>388</v>
      </c>
      <c r="B597" s="4" t="s">
        <v>389</v>
      </c>
      <c r="C597" s="4" t="s">
        <v>130</v>
      </c>
      <c r="D597" s="4" t="s">
        <v>153</v>
      </c>
      <c r="E597" s="4" t="s">
        <v>9</v>
      </c>
      <c r="F597" s="4" t="s">
        <v>10</v>
      </c>
      <c r="G597" s="4" t="s">
        <v>432</v>
      </c>
    </row>
    <row r="598" customFormat="false" ht="15" hidden="false" customHeight="false" outlineLevel="0" collapsed="false">
      <c r="A598" s="4" t="s">
        <v>388</v>
      </c>
      <c r="B598" s="4" t="s">
        <v>389</v>
      </c>
      <c r="C598" s="4" t="s">
        <v>130</v>
      </c>
      <c r="D598" s="4" t="s">
        <v>153</v>
      </c>
      <c r="E598" s="4" t="s">
        <v>11</v>
      </c>
      <c r="F598" s="4" t="s">
        <v>10</v>
      </c>
      <c r="G598" s="4" t="s">
        <v>432</v>
      </c>
    </row>
    <row r="599" customFormat="false" ht="15" hidden="false" customHeight="false" outlineLevel="0" collapsed="false">
      <c r="A599" s="4" t="s">
        <v>388</v>
      </c>
      <c r="B599" s="4" t="s">
        <v>389</v>
      </c>
      <c r="C599" s="4" t="s">
        <v>130</v>
      </c>
      <c r="D599" s="4" t="s">
        <v>153</v>
      </c>
      <c r="E599" s="4" t="s">
        <v>12</v>
      </c>
      <c r="F599" s="4" t="s">
        <v>10</v>
      </c>
      <c r="G599" s="4" t="s">
        <v>432</v>
      </c>
    </row>
    <row r="600" customFormat="false" ht="15" hidden="false" customHeight="false" outlineLevel="0" collapsed="false">
      <c r="A600" s="4" t="s">
        <v>388</v>
      </c>
      <c r="B600" s="4" t="s">
        <v>389</v>
      </c>
      <c r="C600" s="4" t="s">
        <v>130</v>
      </c>
      <c r="D600" s="4" t="s">
        <v>153</v>
      </c>
      <c r="E600" s="4" t="s">
        <v>18</v>
      </c>
      <c r="F600" s="4" t="s">
        <v>10</v>
      </c>
      <c r="G600" s="4" t="s">
        <v>432</v>
      </c>
    </row>
    <row r="601" customFormat="false" ht="15" hidden="false" customHeight="false" outlineLevel="0" collapsed="false">
      <c r="A601" s="4" t="s">
        <v>388</v>
      </c>
      <c r="B601" s="4" t="s">
        <v>389</v>
      </c>
      <c r="C601" s="4" t="s">
        <v>130</v>
      </c>
      <c r="D601" s="4" t="s">
        <v>153</v>
      </c>
      <c r="E601" s="4" t="s">
        <v>21</v>
      </c>
      <c r="F601" s="4" t="s">
        <v>20</v>
      </c>
      <c r="G601" s="4" t="s">
        <v>432</v>
      </c>
    </row>
    <row r="602" customFormat="false" ht="15" hidden="false" customHeight="false" outlineLevel="0" collapsed="false">
      <c r="A602" s="4" t="s">
        <v>388</v>
      </c>
      <c r="B602" s="4" t="s">
        <v>389</v>
      </c>
      <c r="C602" s="4" t="s">
        <v>130</v>
      </c>
      <c r="D602" s="4" t="s">
        <v>153</v>
      </c>
      <c r="E602" s="4" t="s">
        <v>41</v>
      </c>
      <c r="F602" s="4" t="s">
        <v>42</v>
      </c>
      <c r="G602" s="4" t="s">
        <v>150</v>
      </c>
    </row>
    <row r="603" customFormat="false" ht="15" hidden="false" customHeight="false" outlineLevel="0" collapsed="false">
      <c r="A603" s="4" t="s">
        <v>388</v>
      </c>
      <c r="B603" s="4" t="s">
        <v>389</v>
      </c>
      <c r="C603" s="4" t="s">
        <v>130</v>
      </c>
      <c r="D603" s="4" t="s">
        <v>153</v>
      </c>
      <c r="E603" s="4" t="s">
        <v>43</v>
      </c>
      <c r="F603" s="4" t="s">
        <v>44</v>
      </c>
      <c r="G603" s="4" t="s">
        <v>150</v>
      </c>
    </row>
    <row r="604" customFormat="false" ht="15" hidden="false" customHeight="false" outlineLevel="0" collapsed="false">
      <c r="A604" s="4" t="s">
        <v>388</v>
      </c>
      <c r="B604" s="4" t="s">
        <v>389</v>
      </c>
      <c r="C604" s="4" t="s">
        <v>130</v>
      </c>
      <c r="D604" s="4" t="s">
        <v>153</v>
      </c>
      <c r="E604" s="4" t="s">
        <v>65</v>
      </c>
      <c r="F604" s="4" t="s">
        <v>66</v>
      </c>
      <c r="G604" s="4" t="s">
        <v>432</v>
      </c>
    </row>
    <row r="605" customFormat="false" ht="15" hidden="false" customHeight="false" outlineLevel="0" collapsed="false">
      <c r="A605" s="4" t="s">
        <v>388</v>
      </c>
      <c r="B605" s="4" t="s">
        <v>389</v>
      </c>
      <c r="C605" s="4" t="s">
        <v>130</v>
      </c>
      <c r="D605" s="4" t="s">
        <v>153</v>
      </c>
      <c r="E605" s="4" t="s">
        <v>68</v>
      </c>
      <c r="F605" s="4" t="s">
        <v>69</v>
      </c>
      <c r="G605" s="4" t="s">
        <v>432</v>
      </c>
    </row>
    <row r="606" customFormat="false" ht="15" hidden="false" customHeight="false" outlineLevel="0" collapsed="false">
      <c r="A606" s="4" t="s">
        <v>388</v>
      </c>
      <c r="B606" s="4" t="s">
        <v>389</v>
      </c>
      <c r="C606" s="4" t="s">
        <v>130</v>
      </c>
      <c r="D606" s="4" t="s">
        <v>153</v>
      </c>
      <c r="E606" s="4" t="s">
        <v>76</v>
      </c>
      <c r="F606" s="4" t="s">
        <v>74</v>
      </c>
      <c r="G606" s="4" t="s">
        <v>432</v>
      </c>
    </row>
    <row r="607" customFormat="false" ht="15" hidden="false" customHeight="false" outlineLevel="0" collapsed="false">
      <c r="A607" s="4" t="s">
        <v>388</v>
      </c>
      <c r="B607" s="4" t="s">
        <v>389</v>
      </c>
      <c r="C607" s="4" t="s">
        <v>130</v>
      </c>
      <c r="D607" s="4" t="s">
        <v>153</v>
      </c>
      <c r="E607" s="4" t="s">
        <v>80</v>
      </c>
      <c r="F607" s="4" t="s">
        <v>79</v>
      </c>
      <c r="G607" s="4" t="s">
        <v>432</v>
      </c>
    </row>
    <row r="608" customFormat="false" ht="15" hidden="false" customHeight="false" outlineLevel="0" collapsed="false">
      <c r="A608" s="4" t="s">
        <v>388</v>
      </c>
      <c r="B608" s="4" t="s">
        <v>389</v>
      </c>
      <c r="C608" s="4" t="s">
        <v>130</v>
      </c>
      <c r="D608" s="4" t="s">
        <v>153</v>
      </c>
      <c r="E608" s="4" t="s">
        <v>108</v>
      </c>
      <c r="F608" s="4" t="s">
        <v>107</v>
      </c>
      <c r="G608" s="4" t="s">
        <v>432</v>
      </c>
    </row>
    <row r="609" customFormat="false" ht="15" hidden="false" customHeight="false" outlineLevel="0" collapsed="false">
      <c r="A609" s="4" t="s">
        <v>391</v>
      </c>
      <c r="B609" s="4" t="s">
        <v>392</v>
      </c>
      <c r="C609" s="4" t="s">
        <v>130</v>
      </c>
      <c r="D609" s="4" t="s">
        <v>153</v>
      </c>
      <c r="E609" s="4" t="s">
        <v>9</v>
      </c>
      <c r="F609" s="4" t="s">
        <v>10</v>
      </c>
      <c r="G609" s="4" t="s">
        <v>432</v>
      </c>
    </row>
    <row r="610" customFormat="false" ht="15" hidden="false" customHeight="false" outlineLevel="0" collapsed="false">
      <c r="A610" s="4" t="s">
        <v>391</v>
      </c>
      <c r="B610" s="4" t="s">
        <v>392</v>
      </c>
      <c r="C610" s="4" t="s">
        <v>130</v>
      </c>
      <c r="D610" s="4" t="s">
        <v>153</v>
      </c>
      <c r="E610" s="4" t="s">
        <v>11</v>
      </c>
      <c r="F610" s="4" t="s">
        <v>10</v>
      </c>
      <c r="G610" s="4" t="s">
        <v>432</v>
      </c>
    </row>
    <row r="611" customFormat="false" ht="15" hidden="false" customHeight="false" outlineLevel="0" collapsed="false">
      <c r="A611" s="4" t="s">
        <v>391</v>
      </c>
      <c r="B611" s="4" t="s">
        <v>392</v>
      </c>
      <c r="C611" s="4" t="s">
        <v>130</v>
      </c>
      <c r="D611" s="4" t="s">
        <v>153</v>
      </c>
      <c r="E611" s="4" t="s">
        <v>12</v>
      </c>
      <c r="F611" s="4" t="s">
        <v>10</v>
      </c>
      <c r="G611" s="4" t="s">
        <v>433</v>
      </c>
    </row>
    <row r="612" customFormat="false" ht="15" hidden="false" customHeight="false" outlineLevel="0" collapsed="false">
      <c r="A612" s="4" t="s">
        <v>391</v>
      </c>
      <c r="B612" s="4" t="s">
        <v>392</v>
      </c>
      <c r="C612" s="4" t="s">
        <v>130</v>
      </c>
      <c r="D612" s="4" t="s">
        <v>153</v>
      </c>
      <c r="E612" s="4" t="s">
        <v>22</v>
      </c>
      <c r="F612" s="4" t="s">
        <v>20</v>
      </c>
      <c r="G612" s="4" t="s">
        <v>433</v>
      </c>
    </row>
    <row r="613" customFormat="false" ht="15" hidden="false" customHeight="false" outlineLevel="0" collapsed="false">
      <c r="A613" s="4" t="s">
        <v>391</v>
      </c>
      <c r="B613" s="4" t="s">
        <v>392</v>
      </c>
      <c r="C613" s="4" t="s">
        <v>130</v>
      </c>
      <c r="D613" s="4" t="s">
        <v>153</v>
      </c>
      <c r="E613" s="4" t="s">
        <v>68</v>
      </c>
      <c r="F613" s="4" t="s">
        <v>69</v>
      </c>
      <c r="G613" s="4" t="s">
        <v>150</v>
      </c>
    </row>
    <row r="614" customFormat="false" ht="15" hidden="false" customHeight="false" outlineLevel="0" collapsed="false">
      <c r="A614" s="4" t="s">
        <v>391</v>
      </c>
      <c r="B614" s="4" t="s">
        <v>392</v>
      </c>
      <c r="C614" s="4" t="s">
        <v>130</v>
      </c>
      <c r="D614" s="4" t="s">
        <v>153</v>
      </c>
      <c r="E614" s="4" t="s">
        <v>76</v>
      </c>
      <c r="F614" s="4" t="s">
        <v>74</v>
      </c>
      <c r="G614" s="4" t="s">
        <v>432</v>
      </c>
    </row>
    <row r="615" customFormat="false" ht="15" hidden="false" customHeight="false" outlineLevel="0" collapsed="false">
      <c r="A615" s="4" t="s">
        <v>391</v>
      </c>
      <c r="B615" s="4" t="s">
        <v>392</v>
      </c>
      <c r="C615" s="4" t="s">
        <v>130</v>
      </c>
      <c r="D615" s="4" t="s">
        <v>153</v>
      </c>
      <c r="E615" s="4" t="s">
        <v>100</v>
      </c>
      <c r="F615" s="4" t="s">
        <v>101</v>
      </c>
      <c r="G615" s="4" t="s">
        <v>432</v>
      </c>
    </row>
    <row r="616" customFormat="false" ht="15" hidden="false" customHeight="false" outlineLevel="0" collapsed="false">
      <c r="A616" s="4" t="s">
        <v>391</v>
      </c>
      <c r="B616" s="4" t="s">
        <v>392</v>
      </c>
      <c r="C616" s="4" t="s">
        <v>130</v>
      </c>
      <c r="D616" s="4" t="s">
        <v>153</v>
      </c>
      <c r="E616" s="4" t="s">
        <v>108</v>
      </c>
      <c r="F616" s="4" t="s">
        <v>107</v>
      </c>
      <c r="G616" s="4" t="s">
        <v>432</v>
      </c>
    </row>
    <row r="617" customFormat="false" ht="15" hidden="false" customHeight="false" outlineLevel="0" collapsed="false">
      <c r="A617" s="4" t="s">
        <v>393</v>
      </c>
      <c r="B617" s="4" t="s">
        <v>394</v>
      </c>
      <c r="C617" s="4" t="s">
        <v>130</v>
      </c>
      <c r="D617" s="4" t="s">
        <v>153</v>
      </c>
      <c r="E617" s="4" t="s">
        <v>9</v>
      </c>
      <c r="F617" s="4" t="s">
        <v>10</v>
      </c>
      <c r="G617" s="4" t="s">
        <v>432</v>
      </c>
    </row>
    <row r="618" customFormat="false" ht="15" hidden="false" customHeight="false" outlineLevel="0" collapsed="false">
      <c r="A618" s="4" t="s">
        <v>393</v>
      </c>
      <c r="B618" s="4" t="s">
        <v>394</v>
      </c>
      <c r="C618" s="4" t="s">
        <v>130</v>
      </c>
      <c r="D618" s="4" t="s">
        <v>153</v>
      </c>
      <c r="E618" s="4" t="s">
        <v>11</v>
      </c>
      <c r="F618" s="4" t="s">
        <v>10</v>
      </c>
      <c r="G618" s="4" t="s">
        <v>432</v>
      </c>
    </row>
    <row r="619" customFormat="false" ht="15" hidden="false" customHeight="false" outlineLevel="0" collapsed="false">
      <c r="A619" s="4" t="s">
        <v>393</v>
      </c>
      <c r="B619" s="4" t="s">
        <v>394</v>
      </c>
      <c r="C619" s="4" t="s">
        <v>130</v>
      </c>
      <c r="D619" s="4" t="s">
        <v>153</v>
      </c>
      <c r="E619" s="4" t="s">
        <v>12</v>
      </c>
      <c r="F619" s="4" t="s">
        <v>10</v>
      </c>
      <c r="G619" s="4" t="s">
        <v>432</v>
      </c>
    </row>
    <row r="620" customFormat="false" ht="15" hidden="false" customHeight="false" outlineLevel="0" collapsed="false">
      <c r="A620" s="4" t="s">
        <v>393</v>
      </c>
      <c r="B620" s="4" t="s">
        <v>394</v>
      </c>
      <c r="C620" s="4" t="s">
        <v>130</v>
      </c>
      <c r="D620" s="4" t="s">
        <v>153</v>
      </c>
      <c r="E620" s="4" t="s">
        <v>22</v>
      </c>
      <c r="F620" s="4" t="s">
        <v>20</v>
      </c>
      <c r="G620" s="4" t="s">
        <v>433</v>
      </c>
    </row>
    <row r="621" customFormat="false" ht="15" hidden="false" customHeight="false" outlineLevel="0" collapsed="false">
      <c r="A621" s="4" t="s">
        <v>393</v>
      </c>
      <c r="B621" s="4" t="s">
        <v>394</v>
      </c>
      <c r="C621" s="4" t="s">
        <v>130</v>
      </c>
      <c r="D621" s="4" t="s">
        <v>153</v>
      </c>
      <c r="E621" s="4" t="s">
        <v>27</v>
      </c>
      <c r="F621" s="4" t="s">
        <v>28</v>
      </c>
      <c r="G621" s="4" t="s">
        <v>150</v>
      </c>
    </row>
    <row r="622" customFormat="false" ht="15" hidden="false" customHeight="false" outlineLevel="0" collapsed="false">
      <c r="A622" s="4" t="s">
        <v>393</v>
      </c>
      <c r="B622" s="4" t="s">
        <v>394</v>
      </c>
      <c r="C622" s="4" t="s">
        <v>130</v>
      </c>
      <c r="D622" s="4" t="s">
        <v>153</v>
      </c>
      <c r="E622" s="4" t="s">
        <v>33</v>
      </c>
      <c r="F622" s="4" t="s">
        <v>28</v>
      </c>
      <c r="G622" s="4" t="s">
        <v>150</v>
      </c>
    </row>
    <row r="623" customFormat="false" ht="15" hidden="false" customHeight="false" outlineLevel="0" collapsed="false">
      <c r="A623" s="4" t="s">
        <v>393</v>
      </c>
      <c r="B623" s="4" t="s">
        <v>394</v>
      </c>
      <c r="C623" s="4" t="s">
        <v>130</v>
      </c>
      <c r="D623" s="4" t="s">
        <v>153</v>
      </c>
      <c r="E623" s="4" t="s">
        <v>41</v>
      </c>
      <c r="F623" s="4" t="s">
        <v>42</v>
      </c>
      <c r="G623" s="4" t="s">
        <v>150</v>
      </c>
    </row>
    <row r="624" customFormat="false" ht="15" hidden="false" customHeight="false" outlineLevel="0" collapsed="false">
      <c r="A624" s="4" t="s">
        <v>393</v>
      </c>
      <c r="B624" s="4" t="s">
        <v>394</v>
      </c>
      <c r="C624" s="4" t="s">
        <v>130</v>
      </c>
      <c r="D624" s="4" t="s">
        <v>153</v>
      </c>
      <c r="E624" s="4" t="s">
        <v>65</v>
      </c>
      <c r="F624" s="4" t="s">
        <v>66</v>
      </c>
      <c r="G624" s="4" t="s">
        <v>432</v>
      </c>
    </row>
    <row r="625" customFormat="false" ht="15" hidden="false" customHeight="false" outlineLevel="0" collapsed="false">
      <c r="A625" s="4" t="s">
        <v>393</v>
      </c>
      <c r="B625" s="4" t="s">
        <v>394</v>
      </c>
      <c r="C625" s="4" t="s">
        <v>130</v>
      </c>
      <c r="D625" s="4" t="s">
        <v>153</v>
      </c>
      <c r="E625" s="4" t="s">
        <v>68</v>
      </c>
      <c r="F625" s="4" t="s">
        <v>69</v>
      </c>
      <c r="G625" s="4" t="s">
        <v>432</v>
      </c>
    </row>
    <row r="626" customFormat="false" ht="15" hidden="false" customHeight="false" outlineLevel="0" collapsed="false">
      <c r="A626" s="4" t="s">
        <v>393</v>
      </c>
      <c r="B626" s="4" t="s">
        <v>394</v>
      </c>
      <c r="C626" s="4" t="s">
        <v>130</v>
      </c>
      <c r="D626" s="4" t="s">
        <v>153</v>
      </c>
      <c r="E626" s="4" t="s">
        <v>75</v>
      </c>
      <c r="F626" s="4" t="s">
        <v>74</v>
      </c>
      <c r="G626" s="4" t="s">
        <v>432</v>
      </c>
    </row>
    <row r="627" customFormat="false" ht="15" hidden="false" customHeight="false" outlineLevel="0" collapsed="false">
      <c r="A627" s="4" t="s">
        <v>393</v>
      </c>
      <c r="B627" s="4" t="s">
        <v>394</v>
      </c>
      <c r="C627" s="4" t="s">
        <v>130</v>
      </c>
      <c r="D627" s="4" t="s">
        <v>153</v>
      </c>
      <c r="E627" s="4" t="s">
        <v>76</v>
      </c>
      <c r="F627" s="4" t="s">
        <v>74</v>
      </c>
      <c r="G627" s="4" t="s">
        <v>150</v>
      </c>
    </row>
    <row r="628" customFormat="false" ht="15" hidden="false" customHeight="false" outlineLevel="0" collapsed="false">
      <c r="A628" s="4" t="s">
        <v>393</v>
      </c>
      <c r="B628" s="4" t="s">
        <v>394</v>
      </c>
      <c r="C628" s="4" t="s">
        <v>130</v>
      </c>
      <c r="D628" s="4" t="s">
        <v>153</v>
      </c>
      <c r="E628" s="4" t="s">
        <v>87</v>
      </c>
      <c r="F628" s="4" t="s">
        <v>79</v>
      </c>
      <c r="G628" s="4" t="s">
        <v>432</v>
      </c>
    </row>
    <row r="629" customFormat="false" ht="15" hidden="false" customHeight="false" outlineLevel="0" collapsed="false">
      <c r="A629" s="4" t="s">
        <v>393</v>
      </c>
      <c r="B629" s="4" t="s">
        <v>394</v>
      </c>
      <c r="C629" s="4" t="s">
        <v>130</v>
      </c>
      <c r="D629" s="4" t="s">
        <v>153</v>
      </c>
      <c r="E629" s="4" t="s">
        <v>94</v>
      </c>
      <c r="F629" s="4" t="s">
        <v>95</v>
      </c>
      <c r="G629" s="4" t="s">
        <v>150</v>
      </c>
    </row>
    <row r="630" customFormat="false" ht="15" hidden="false" customHeight="false" outlineLevel="0" collapsed="false">
      <c r="A630" s="4" t="s">
        <v>393</v>
      </c>
      <c r="B630" s="4" t="s">
        <v>394</v>
      </c>
      <c r="C630" s="4" t="s">
        <v>130</v>
      </c>
      <c r="D630" s="4" t="s">
        <v>153</v>
      </c>
      <c r="E630" s="4" t="s">
        <v>99</v>
      </c>
      <c r="F630" s="4" t="s">
        <v>98</v>
      </c>
      <c r="G630" s="4" t="s">
        <v>150</v>
      </c>
    </row>
    <row r="631" customFormat="false" ht="15" hidden="false" customHeight="false" outlineLevel="0" collapsed="false">
      <c r="A631" s="4" t="s">
        <v>393</v>
      </c>
      <c r="B631" s="4" t="s">
        <v>394</v>
      </c>
      <c r="C631" s="4" t="s">
        <v>130</v>
      </c>
      <c r="D631" s="4" t="s">
        <v>153</v>
      </c>
      <c r="E631" s="4" t="s">
        <v>102</v>
      </c>
      <c r="F631" s="4" t="s">
        <v>101</v>
      </c>
      <c r="G631" s="4" t="s">
        <v>432</v>
      </c>
    </row>
    <row r="632" customFormat="false" ht="15" hidden="false" customHeight="false" outlineLevel="0" collapsed="false">
      <c r="A632" s="4" t="s">
        <v>396</v>
      </c>
      <c r="B632" s="4" t="s">
        <v>397</v>
      </c>
      <c r="C632" s="4" t="s">
        <v>130</v>
      </c>
      <c r="D632" s="4" t="s">
        <v>153</v>
      </c>
      <c r="E632" s="4" t="s">
        <v>11</v>
      </c>
      <c r="F632" s="4" t="s">
        <v>10</v>
      </c>
      <c r="G632" s="4" t="s">
        <v>432</v>
      </c>
    </row>
    <row r="633" customFormat="false" ht="15" hidden="false" customHeight="false" outlineLevel="0" collapsed="false">
      <c r="A633" s="4" t="s">
        <v>396</v>
      </c>
      <c r="B633" s="4" t="s">
        <v>397</v>
      </c>
      <c r="C633" s="4" t="s">
        <v>130</v>
      </c>
      <c r="D633" s="4" t="s">
        <v>153</v>
      </c>
      <c r="E633" s="4" t="s">
        <v>68</v>
      </c>
      <c r="F633" s="4" t="s">
        <v>69</v>
      </c>
      <c r="G633" s="4" t="s">
        <v>432</v>
      </c>
    </row>
    <row r="634" customFormat="false" ht="15" hidden="false" customHeight="false" outlineLevel="0" collapsed="false">
      <c r="A634" s="4" t="s">
        <v>396</v>
      </c>
      <c r="B634" s="4" t="s">
        <v>397</v>
      </c>
      <c r="C634" s="4" t="s">
        <v>130</v>
      </c>
      <c r="D634" s="4" t="s">
        <v>153</v>
      </c>
      <c r="E634" s="4" t="s">
        <v>104</v>
      </c>
      <c r="F634" s="4" t="s">
        <v>101</v>
      </c>
      <c r="G634" s="4" t="s">
        <v>433</v>
      </c>
    </row>
    <row r="635" customFormat="false" ht="15" hidden="false" customHeight="false" outlineLevel="0" collapsed="false">
      <c r="A635" s="4" t="s">
        <v>398</v>
      </c>
      <c r="B635" s="4" t="s">
        <v>399</v>
      </c>
      <c r="C635" s="4" t="s">
        <v>130</v>
      </c>
      <c r="D635" s="4" t="s">
        <v>153</v>
      </c>
      <c r="E635" s="4" t="s">
        <v>9</v>
      </c>
      <c r="F635" s="4" t="s">
        <v>10</v>
      </c>
      <c r="G635" s="4" t="s">
        <v>432</v>
      </c>
    </row>
    <row r="636" customFormat="false" ht="15" hidden="false" customHeight="false" outlineLevel="0" collapsed="false">
      <c r="A636" s="4" t="s">
        <v>398</v>
      </c>
      <c r="B636" s="4" t="s">
        <v>399</v>
      </c>
      <c r="C636" s="4" t="s">
        <v>130</v>
      </c>
      <c r="D636" s="4" t="s">
        <v>153</v>
      </c>
      <c r="E636" s="4" t="s">
        <v>11</v>
      </c>
      <c r="F636" s="4" t="s">
        <v>10</v>
      </c>
      <c r="G636" s="4" t="s">
        <v>432</v>
      </c>
    </row>
    <row r="637" customFormat="false" ht="15" hidden="false" customHeight="false" outlineLevel="0" collapsed="false">
      <c r="A637" s="4" t="s">
        <v>398</v>
      </c>
      <c r="B637" s="4" t="s">
        <v>399</v>
      </c>
      <c r="C637" s="4" t="s">
        <v>130</v>
      </c>
      <c r="D637" s="4" t="s">
        <v>153</v>
      </c>
      <c r="E637" s="4" t="s">
        <v>12</v>
      </c>
      <c r="F637" s="4" t="s">
        <v>10</v>
      </c>
      <c r="G637" s="4" t="s">
        <v>150</v>
      </c>
    </row>
    <row r="638" customFormat="false" ht="15" hidden="false" customHeight="false" outlineLevel="0" collapsed="false">
      <c r="A638" s="4" t="s">
        <v>398</v>
      </c>
      <c r="B638" s="4" t="s">
        <v>399</v>
      </c>
      <c r="C638" s="4" t="s">
        <v>130</v>
      </c>
      <c r="D638" s="4" t="s">
        <v>153</v>
      </c>
      <c r="E638" s="4" t="s">
        <v>13</v>
      </c>
      <c r="F638" s="4" t="s">
        <v>10</v>
      </c>
      <c r="G638" s="4" t="s">
        <v>150</v>
      </c>
    </row>
    <row r="639" customFormat="false" ht="15" hidden="false" customHeight="false" outlineLevel="0" collapsed="false">
      <c r="A639" s="4" t="s">
        <v>398</v>
      </c>
      <c r="B639" s="4" t="s">
        <v>399</v>
      </c>
      <c r="C639" s="4" t="s">
        <v>130</v>
      </c>
      <c r="D639" s="4" t="s">
        <v>153</v>
      </c>
      <c r="E639" s="4" t="s">
        <v>22</v>
      </c>
      <c r="F639" s="4" t="s">
        <v>20</v>
      </c>
      <c r="G639" s="4" t="s">
        <v>433</v>
      </c>
    </row>
    <row r="640" customFormat="false" ht="15" hidden="false" customHeight="false" outlineLevel="0" collapsed="false">
      <c r="A640" s="4" t="s">
        <v>398</v>
      </c>
      <c r="B640" s="4" t="s">
        <v>399</v>
      </c>
      <c r="C640" s="4" t="s">
        <v>130</v>
      </c>
      <c r="D640" s="4" t="s">
        <v>153</v>
      </c>
      <c r="E640" s="4" t="s">
        <v>27</v>
      </c>
      <c r="F640" s="4" t="s">
        <v>28</v>
      </c>
      <c r="G640" s="4" t="s">
        <v>150</v>
      </c>
    </row>
    <row r="641" customFormat="false" ht="15" hidden="false" customHeight="false" outlineLevel="0" collapsed="false">
      <c r="A641" s="4" t="s">
        <v>398</v>
      </c>
      <c r="B641" s="4" t="s">
        <v>399</v>
      </c>
      <c r="C641" s="4" t="s">
        <v>130</v>
      </c>
      <c r="D641" s="4" t="s">
        <v>153</v>
      </c>
      <c r="E641" s="4" t="s">
        <v>41</v>
      </c>
      <c r="F641" s="4" t="s">
        <v>42</v>
      </c>
      <c r="G641" s="4" t="s">
        <v>150</v>
      </c>
    </row>
    <row r="642" customFormat="false" ht="15" hidden="false" customHeight="false" outlineLevel="0" collapsed="false">
      <c r="A642" s="4" t="s">
        <v>398</v>
      </c>
      <c r="B642" s="4" t="s">
        <v>399</v>
      </c>
      <c r="C642" s="4" t="s">
        <v>130</v>
      </c>
      <c r="D642" s="4" t="s">
        <v>153</v>
      </c>
      <c r="E642" s="4" t="s">
        <v>65</v>
      </c>
      <c r="F642" s="4" t="s">
        <v>66</v>
      </c>
      <c r="G642" s="4" t="s">
        <v>432</v>
      </c>
    </row>
    <row r="643" customFormat="false" ht="15" hidden="false" customHeight="false" outlineLevel="0" collapsed="false">
      <c r="A643" s="4" t="s">
        <v>398</v>
      </c>
      <c r="B643" s="4" t="s">
        <v>399</v>
      </c>
      <c r="C643" s="4" t="s">
        <v>130</v>
      </c>
      <c r="D643" s="4" t="s">
        <v>153</v>
      </c>
      <c r="E643" s="4" t="s">
        <v>68</v>
      </c>
      <c r="F643" s="4" t="s">
        <v>69</v>
      </c>
      <c r="G643" s="4" t="s">
        <v>432</v>
      </c>
    </row>
    <row r="644" customFormat="false" ht="15" hidden="false" customHeight="false" outlineLevel="0" collapsed="false">
      <c r="A644" s="4" t="s">
        <v>398</v>
      </c>
      <c r="B644" s="4" t="s">
        <v>399</v>
      </c>
      <c r="C644" s="4" t="s">
        <v>130</v>
      </c>
      <c r="D644" s="4" t="s">
        <v>153</v>
      </c>
      <c r="E644" s="4" t="s">
        <v>73</v>
      </c>
      <c r="F644" s="4" t="s">
        <v>74</v>
      </c>
      <c r="G644" s="4" t="s">
        <v>432</v>
      </c>
    </row>
    <row r="645" customFormat="false" ht="15" hidden="false" customHeight="false" outlineLevel="0" collapsed="false">
      <c r="A645" s="4" t="s">
        <v>398</v>
      </c>
      <c r="B645" s="4" t="s">
        <v>399</v>
      </c>
      <c r="C645" s="4" t="s">
        <v>130</v>
      </c>
      <c r="D645" s="4" t="s">
        <v>153</v>
      </c>
      <c r="E645" s="4" t="s">
        <v>75</v>
      </c>
      <c r="F645" s="4" t="s">
        <v>74</v>
      </c>
      <c r="G645" s="4" t="s">
        <v>432</v>
      </c>
    </row>
    <row r="646" customFormat="false" ht="15" hidden="false" customHeight="false" outlineLevel="0" collapsed="false">
      <c r="A646" s="4" t="s">
        <v>398</v>
      </c>
      <c r="B646" s="4" t="s">
        <v>399</v>
      </c>
      <c r="C646" s="4" t="s">
        <v>130</v>
      </c>
      <c r="D646" s="4" t="s">
        <v>153</v>
      </c>
      <c r="E646" s="4" t="s">
        <v>81</v>
      </c>
      <c r="F646" s="4" t="s">
        <v>79</v>
      </c>
      <c r="G646" s="4" t="s">
        <v>150</v>
      </c>
    </row>
    <row r="647" customFormat="false" ht="15" hidden="false" customHeight="false" outlineLevel="0" collapsed="false">
      <c r="A647" s="4" t="s">
        <v>398</v>
      </c>
      <c r="B647" s="4" t="s">
        <v>399</v>
      </c>
      <c r="C647" s="4" t="s">
        <v>130</v>
      </c>
      <c r="D647" s="4" t="s">
        <v>153</v>
      </c>
      <c r="E647" s="4" t="s">
        <v>87</v>
      </c>
      <c r="F647" s="4" t="s">
        <v>79</v>
      </c>
      <c r="G647" s="4" t="s">
        <v>432</v>
      </c>
    </row>
    <row r="648" customFormat="false" ht="15" hidden="false" customHeight="false" outlineLevel="0" collapsed="false">
      <c r="A648" s="4" t="s">
        <v>398</v>
      </c>
      <c r="B648" s="4" t="s">
        <v>399</v>
      </c>
      <c r="C648" s="4" t="s">
        <v>130</v>
      </c>
      <c r="D648" s="4" t="s">
        <v>153</v>
      </c>
      <c r="E648" s="4" t="s">
        <v>92</v>
      </c>
      <c r="F648" s="4" t="s">
        <v>93</v>
      </c>
      <c r="G648" s="4" t="s">
        <v>150</v>
      </c>
    </row>
    <row r="649" customFormat="false" ht="15" hidden="false" customHeight="false" outlineLevel="0" collapsed="false">
      <c r="A649" s="4" t="s">
        <v>398</v>
      </c>
      <c r="B649" s="4" t="s">
        <v>399</v>
      </c>
      <c r="C649" s="4" t="s">
        <v>130</v>
      </c>
      <c r="D649" s="4" t="s">
        <v>153</v>
      </c>
      <c r="E649" s="4" t="s">
        <v>97</v>
      </c>
      <c r="F649" s="4" t="s">
        <v>98</v>
      </c>
      <c r="G649" s="4" t="s">
        <v>432</v>
      </c>
    </row>
    <row r="650" customFormat="false" ht="15" hidden="false" customHeight="false" outlineLevel="0" collapsed="false">
      <c r="A650" s="4" t="s">
        <v>398</v>
      </c>
      <c r="B650" s="4" t="s">
        <v>399</v>
      </c>
      <c r="C650" s="4" t="s">
        <v>130</v>
      </c>
      <c r="D650" s="4" t="s">
        <v>153</v>
      </c>
      <c r="E650" s="4" t="s">
        <v>99</v>
      </c>
      <c r="F650" s="4" t="s">
        <v>98</v>
      </c>
      <c r="G650" s="4" t="s">
        <v>150</v>
      </c>
    </row>
    <row r="651" customFormat="false" ht="15" hidden="false" customHeight="false" outlineLevel="0" collapsed="false">
      <c r="A651" s="4" t="s">
        <v>398</v>
      </c>
      <c r="B651" s="4" t="s">
        <v>399</v>
      </c>
      <c r="C651" s="4" t="s">
        <v>130</v>
      </c>
      <c r="D651" s="4" t="s">
        <v>153</v>
      </c>
      <c r="E651" s="4" t="s">
        <v>100</v>
      </c>
      <c r="F651" s="4" t="s">
        <v>101</v>
      </c>
      <c r="G651" s="4" t="s">
        <v>150</v>
      </c>
    </row>
    <row r="652" customFormat="false" ht="15" hidden="false" customHeight="false" outlineLevel="0" collapsed="false">
      <c r="A652" s="4" t="s">
        <v>398</v>
      </c>
      <c r="B652" s="4" t="s">
        <v>399</v>
      </c>
      <c r="C652" s="4" t="s">
        <v>130</v>
      </c>
      <c r="D652" s="4" t="s">
        <v>153</v>
      </c>
      <c r="E652" s="4" t="s">
        <v>102</v>
      </c>
      <c r="F652" s="4" t="s">
        <v>101</v>
      </c>
      <c r="G652" s="4" t="s">
        <v>432</v>
      </c>
    </row>
    <row r="653" customFormat="false" ht="15" hidden="false" customHeight="false" outlineLevel="0" collapsed="false">
      <c r="A653" s="4" t="s">
        <v>401</v>
      </c>
      <c r="B653" s="4" t="s">
        <v>402</v>
      </c>
      <c r="C653" s="4" t="s">
        <v>130</v>
      </c>
      <c r="D653" s="4" t="s">
        <v>153</v>
      </c>
      <c r="E653" s="4" t="s">
        <v>9</v>
      </c>
      <c r="F653" s="4" t="s">
        <v>10</v>
      </c>
      <c r="G653" s="4" t="s">
        <v>432</v>
      </c>
    </row>
    <row r="654" customFormat="false" ht="15" hidden="false" customHeight="false" outlineLevel="0" collapsed="false">
      <c r="A654" s="4" t="s">
        <v>401</v>
      </c>
      <c r="B654" s="4" t="s">
        <v>402</v>
      </c>
      <c r="C654" s="4" t="s">
        <v>130</v>
      </c>
      <c r="D654" s="4" t="s">
        <v>153</v>
      </c>
      <c r="E654" s="4" t="s">
        <v>11</v>
      </c>
      <c r="F654" s="4" t="s">
        <v>10</v>
      </c>
      <c r="G654" s="4" t="s">
        <v>432</v>
      </c>
    </row>
    <row r="655" customFormat="false" ht="15" hidden="false" customHeight="false" outlineLevel="0" collapsed="false">
      <c r="A655" s="4" t="s">
        <v>401</v>
      </c>
      <c r="B655" s="4" t="s">
        <v>402</v>
      </c>
      <c r="C655" s="4" t="s">
        <v>130</v>
      </c>
      <c r="D655" s="4" t="s">
        <v>153</v>
      </c>
      <c r="E655" s="4" t="s">
        <v>41</v>
      </c>
      <c r="F655" s="4" t="s">
        <v>42</v>
      </c>
      <c r="G655" s="4" t="s">
        <v>150</v>
      </c>
    </row>
    <row r="656" customFormat="false" ht="15" hidden="false" customHeight="false" outlineLevel="0" collapsed="false">
      <c r="A656" s="4" t="s">
        <v>401</v>
      </c>
      <c r="B656" s="4" t="s">
        <v>402</v>
      </c>
      <c r="C656" s="4" t="s">
        <v>130</v>
      </c>
      <c r="D656" s="4" t="s">
        <v>153</v>
      </c>
      <c r="E656" s="4" t="s">
        <v>65</v>
      </c>
      <c r="F656" s="4" t="s">
        <v>66</v>
      </c>
      <c r="G656" s="4" t="s">
        <v>432</v>
      </c>
    </row>
    <row r="657" customFormat="false" ht="15" hidden="false" customHeight="false" outlineLevel="0" collapsed="false">
      <c r="A657" s="4" t="s">
        <v>401</v>
      </c>
      <c r="B657" s="4" t="s">
        <v>402</v>
      </c>
      <c r="C657" s="4" t="s">
        <v>130</v>
      </c>
      <c r="D657" s="4" t="s">
        <v>153</v>
      </c>
      <c r="E657" s="4" t="s">
        <v>68</v>
      </c>
      <c r="F657" s="4" t="s">
        <v>69</v>
      </c>
      <c r="G657" s="4" t="s">
        <v>150</v>
      </c>
    </row>
    <row r="658" customFormat="false" ht="15" hidden="false" customHeight="false" outlineLevel="0" collapsed="false">
      <c r="A658" s="4" t="s">
        <v>401</v>
      </c>
      <c r="B658" s="4" t="s">
        <v>402</v>
      </c>
      <c r="C658" s="4" t="s">
        <v>130</v>
      </c>
      <c r="D658" s="4" t="s">
        <v>153</v>
      </c>
      <c r="E658" s="4" t="s">
        <v>73</v>
      </c>
      <c r="F658" s="4" t="s">
        <v>74</v>
      </c>
      <c r="G658" s="4" t="s">
        <v>432</v>
      </c>
    </row>
    <row r="659" customFormat="false" ht="15" hidden="false" customHeight="false" outlineLevel="0" collapsed="false">
      <c r="A659" s="4" t="s">
        <v>401</v>
      </c>
      <c r="B659" s="4" t="s">
        <v>402</v>
      </c>
      <c r="C659" s="4" t="s">
        <v>130</v>
      </c>
      <c r="D659" s="4" t="s">
        <v>153</v>
      </c>
      <c r="E659" s="4" t="s">
        <v>100</v>
      </c>
      <c r="F659" s="4" t="s">
        <v>101</v>
      </c>
      <c r="G659" s="4" t="s">
        <v>432</v>
      </c>
    </row>
    <row r="660" customFormat="false" ht="15" hidden="false" customHeight="false" outlineLevel="0" collapsed="false">
      <c r="A660" s="4" t="s">
        <v>404</v>
      </c>
      <c r="B660" s="4" t="s">
        <v>405</v>
      </c>
      <c r="C660" s="4" t="s">
        <v>130</v>
      </c>
      <c r="D660" s="4" t="s">
        <v>153</v>
      </c>
      <c r="E660" s="4" t="s">
        <v>9</v>
      </c>
      <c r="F660" s="4" t="s">
        <v>10</v>
      </c>
      <c r="G660" s="4" t="s">
        <v>433</v>
      </c>
    </row>
    <row r="661" customFormat="false" ht="15" hidden="false" customHeight="false" outlineLevel="0" collapsed="false">
      <c r="A661" s="4" t="s">
        <v>404</v>
      </c>
      <c r="B661" s="4" t="s">
        <v>405</v>
      </c>
      <c r="C661" s="4" t="s">
        <v>130</v>
      </c>
      <c r="D661" s="4" t="s">
        <v>153</v>
      </c>
      <c r="E661" s="4" t="s">
        <v>11</v>
      </c>
      <c r="F661" s="4" t="s">
        <v>10</v>
      </c>
      <c r="G661" s="4" t="s">
        <v>433</v>
      </c>
    </row>
    <row r="662" customFormat="false" ht="15" hidden="false" customHeight="false" outlineLevel="0" collapsed="false">
      <c r="A662" s="4" t="s">
        <v>404</v>
      </c>
      <c r="B662" s="4" t="s">
        <v>405</v>
      </c>
      <c r="C662" s="4" t="s">
        <v>130</v>
      </c>
      <c r="D662" s="4" t="s">
        <v>153</v>
      </c>
      <c r="E662" s="4" t="s">
        <v>12</v>
      </c>
      <c r="F662" s="4" t="s">
        <v>10</v>
      </c>
      <c r="G662" s="4" t="s">
        <v>433</v>
      </c>
    </row>
    <row r="663" customFormat="false" ht="15" hidden="false" customHeight="false" outlineLevel="0" collapsed="false">
      <c r="A663" s="4" t="s">
        <v>404</v>
      </c>
      <c r="B663" s="4" t="s">
        <v>405</v>
      </c>
      <c r="C663" s="4" t="s">
        <v>130</v>
      </c>
      <c r="D663" s="4" t="s">
        <v>153</v>
      </c>
      <c r="E663" s="4" t="s">
        <v>17</v>
      </c>
      <c r="F663" s="4" t="s">
        <v>10</v>
      </c>
      <c r="G663" s="4" t="s">
        <v>433</v>
      </c>
    </row>
    <row r="664" customFormat="false" ht="15" hidden="false" customHeight="false" outlineLevel="0" collapsed="false">
      <c r="A664" s="4" t="s">
        <v>404</v>
      </c>
      <c r="B664" s="4" t="s">
        <v>405</v>
      </c>
      <c r="C664" s="4" t="s">
        <v>130</v>
      </c>
      <c r="D664" s="4" t="s">
        <v>153</v>
      </c>
      <c r="E664" s="4" t="s">
        <v>65</v>
      </c>
      <c r="F664" s="4" t="s">
        <v>66</v>
      </c>
      <c r="G664" s="4" t="s">
        <v>433</v>
      </c>
    </row>
    <row r="665" customFormat="false" ht="15" hidden="false" customHeight="false" outlineLevel="0" collapsed="false">
      <c r="A665" s="4" t="s">
        <v>404</v>
      </c>
      <c r="B665" s="4" t="s">
        <v>405</v>
      </c>
      <c r="C665" s="4" t="s">
        <v>130</v>
      </c>
      <c r="D665" s="4" t="s">
        <v>153</v>
      </c>
      <c r="E665" s="4" t="s">
        <v>68</v>
      </c>
      <c r="F665" s="4" t="s">
        <v>69</v>
      </c>
      <c r="G665" s="4" t="s">
        <v>433</v>
      </c>
    </row>
    <row r="666" customFormat="false" ht="15" hidden="false" customHeight="false" outlineLevel="0" collapsed="false">
      <c r="A666" s="4" t="s">
        <v>404</v>
      </c>
      <c r="B666" s="4" t="s">
        <v>405</v>
      </c>
      <c r="C666" s="4" t="s">
        <v>130</v>
      </c>
      <c r="D666" s="4" t="s">
        <v>153</v>
      </c>
      <c r="E666" s="4" t="s">
        <v>73</v>
      </c>
      <c r="F666" s="4" t="s">
        <v>74</v>
      </c>
      <c r="G666" s="4" t="s">
        <v>433</v>
      </c>
    </row>
    <row r="667" customFormat="false" ht="15" hidden="false" customHeight="false" outlineLevel="0" collapsed="false">
      <c r="A667" s="4" t="s">
        <v>404</v>
      </c>
      <c r="B667" s="4" t="s">
        <v>405</v>
      </c>
      <c r="C667" s="4" t="s">
        <v>130</v>
      </c>
      <c r="D667" s="4" t="s">
        <v>153</v>
      </c>
      <c r="E667" s="4" t="s">
        <v>75</v>
      </c>
      <c r="F667" s="4" t="s">
        <v>74</v>
      </c>
      <c r="G667" s="4" t="s">
        <v>433</v>
      </c>
    </row>
    <row r="668" customFormat="false" ht="15" hidden="false" customHeight="false" outlineLevel="0" collapsed="false">
      <c r="A668" s="4" t="s">
        <v>404</v>
      </c>
      <c r="B668" s="4" t="s">
        <v>405</v>
      </c>
      <c r="C668" s="4" t="s">
        <v>130</v>
      </c>
      <c r="D668" s="4" t="s">
        <v>153</v>
      </c>
      <c r="E668" s="4" t="s">
        <v>102</v>
      </c>
      <c r="F668" s="4" t="s">
        <v>101</v>
      </c>
      <c r="G668" s="4" t="s">
        <v>433</v>
      </c>
    </row>
    <row r="669" customFormat="false" ht="15" hidden="false" customHeight="false" outlineLevel="0" collapsed="false">
      <c r="A669" s="4" t="s">
        <v>407</v>
      </c>
      <c r="B669" s="4" t="s">
        <v>408</v>
      </c>
      <c r="C669" s="4" t="s">
        <v>130</v>
      </c>
      <c r="D669" s="4" t="s">
        <v>153</v>
      </c>
      <c r="E669" s="4" t="s">
        <v>9</v>
      </c>
      <c r="F669" s="4" t="s">
        <v>10</v>
      </c>
      <c r="G669" s="4" t="s">
        <v>432</v>
      </c>
    </row>
    <row r="670" customFormat="false" ht="15" hidden="false" customHeight="false" outlineLevel="0" collapsed="false">
      <c r="A670" s="4" t="s">
        <v>407</v>
      </c>
      <c r="B670" s="4" t="s">
        <v>408</v>
      </c>
      <c r="C670" s="4" t="s">
        <v>130</v>
      </c>
      <c r="D670" s="4" t="s">
        <v>153</v>
      </c>
      <c r="E670" s="4" t="s">
        <v>11</v>
      </c>
      <c r="F670" s="4" t="s">
        <v>10</v>
      </c>
      <c r="G670" s="4" t="s">
        <v>432</v>
      </c>
    </row>
    <row r="671" customFormat="false" ht="15" hidden="false" customHeight="false" outlineLevel="0" collapsed="false">
      <c r="A671" s="4" t="s">
        <v>407</v>
      </c>
      <c r="B671" s="4" t="s">
        <v>408</v>
      </c>
      <c r="C671" s="4" t="s">
        <v>130</v>
      </c>
      <c r="D671" s="4" t="s">
        <v>153</v>
      </c>
      <c r="E671" s="4" t="s">
        <v>12</v>
      </c>
      <c r="F671" s="4" t="s">
        <v>10</v>
      </c>
      <c r="G671" s="4" t="s">
        <v>432</v>
      </c>
    </row>
    <row r="672" customFormat="false" ht="15" hidden="false" customHeight="false" outlineLevel="0" collapsed="false">
      <c r="A672" s="4" t="s">
        <v>407</v>
      </c>
      <c r="B672" s="4" t="s">
        <v>408</v>
      </c>
      <c r="C672" s="4" t="s">
        <v>130</v>
      </c>
      <c r="D672" s="4" t="s">
        <v>153</v>
      </c>
      <c r="E672" s="4" t="s">
        <v>17</v>
      </c>
      <c r="F672" s="4" t="s">
        <v>10</v>
      </c>
      <c r="G672" s="4" t="s">
        <v>432</v>
      </c>
    </row>
    <row r="673" customFormat="false" ht="15" hidden="false" customHeight="false" outlineLevel="0" collapsed="false">
      <c r="A673" s="4" t="s">
        <v>407</v>
      </c>
      <c r="B673" s="4" t="s">
        <v>408</v>
      </c>
      <c r="C673" s="4" t="s">
        <v>130</v>
      </c>
      <c r="D673" s="4" t="s">
        <v>153</v>
      </c>
      <c r="E673" s="4" t="s">
        <v>22</v>
      </c>
      <c r="F673" s="4" t="s">
        <v>20</v>
      </c>
      <c r="G673" s="4" t="s">
        <v>433</v>
      </c>
    </row>
    <row r="674" customFormat="false" ht="15" hidden="false" customHeight="false" outlineLevel="0" collapsed="false">
      <c r="A674" s="4" t="s">
        <v>407</v>
      </c>
      <c r="B674" s="4" t="s">
        <v>408</v>
      </c>
      <c r="C674" s="4" t="s">
        <v>130</v>
      </c>
      <c r="D674" s="4" t="s">
        <v>153</v>
      </c>
      <c r="E674" s="4" t="s">
        <v>27</v>
      </c>
      <c r="F674" s="4" t="s">
        <v>28</v>
      </c>
      <c r="G674" s="4" t="s">
        <v>432</v>
      </c>
    </row>
    <row r="675" customFormat="false" ht="15" hidden="false" customHeight="false" outlineLevel="0" collapsed="false">
      <c r="A675" s="4" t="s">
        <v>407</v>
      </c>
      <c r="B675" s="4" t="s">
        <v>408</v>
      </c>
      <c r="C675" s="4" t="s">
        <v>130</v>
      </c>
      <c r="D675" s="4" t="s">
        <v>153</v>
      </c>
      <c r="E675" s="4" t="s">
        <v>33</v>
      </c>
      <c r="F675" s="4" t="s">
        <v>28</v>
      </c>
      <c r="G675" s="4" t="s">
        <v>150</v>
      </c>
    </row>
    <row r="676" customFormat="false" ht="15" hidden="false" customHeight="false" outlineLevel="0" collapsed="false">
      <c r="A676" s="4" t="s">
        <v>407</v>
      </c>
      <c r="B676" s="4" t="s">
        <v>408</v>
      </c>
      <c r="C676" s="4" t="s">
        <v>130</v>
      </c>
      <c r="D676" s="4" t="s">
        <v>153</v>
      </c>
      <c r="E676" s="4" t="s">
        <v>40</v>
      </c>
      <c r="F676" s="4" t="s">
        <v>36</v>
      </c>
      <c r="G676" s="4" t="s">
        <v>432</v>
      </c>
    </row>
    <row r="677" customFormat="false" ht="15" hidden="false" customHeight="false" outlineLevel="0" collapsed="false">
      <c r="A677" s="4" t="s">
        <v>407</v>
      </c>
      <c r="B677" s="4" t="s">
        <v>408</v>
      </c>
      <c r="C677" s="4" t="s">
        <v>130</v>
      </c>
      <c r="D677" s="4" t="s">
        <v>153</v>
      </c>
      <c r="E677" s="4" t="s">
        <v>41</v>
      </c>
      <c r="F677" s="4" t="s">
        <v>42</v>
      </c>
      <c r="G677" s="4" t="s">
        <v>150</v>
      </c>
    </row>
    <row r="678" customFormat="false" ht="15" hidden="false" customHeight="false" outlineLevel="0" collapsed="false">
      <c r="A678" s="4" t="s">
        <v>407</v>
      </c>
      <c r="B678" s="4" t="s">
        <v>408</v>
      </c>
      <c r="C678" s="4" t="s">
        <v>130</v>
      </c>
      <c r="D678" s="4" t="s">
        <v>153</v>
      </c>
      <c r="E678" s="4" t="s">
        <v>65</v>
      </c>
      <c r="F678" s="4" t="s">
        <v>66</v>
      </c>
      <c r="G678" s="4" t="s">
        <v>432</v>
      </c>
    </row>
    <row r="679" customFormat="false" ht="15" hidden="false" customHeight="false" outlineLevel="0" collapsed="false">
      <c r="A679" s="4" t="s">
        <v>407</v>
      </c>
      <c r="B679" s="4" t="s">
        <v>408</v>
      </c>
      <c r="C679" s="4" t="s">
        <v>130</v>
      </c>
      <c r="D679" s="4" t="s">
        <v>153</v>
      </c>
      <c r="E679" s="4" t="s">
        <v>68</v>
      </c>
      <c r="F679" s="4" t="s">
        <v>69</v>
      </c>
      <c r="G679" s="4" t="s">
        <v>432</v>
      </c>
    </row>
    <row r="680" customFormat="false" ht="15" hidden="false" customHeight="false" outlineLevel="0" collapsed="false">
      <c r="A680" s="4" t="s">
        <v>407</v>
      </c>
      <c r="B680" s="4" t="s">
        <v>408</v>
      </c>
      <c r="C680" s="4" t="s">
        <v>130</v>
      </c>
      <c r="D680" s="4" t="s">
        <v>153</v>
      </c>
      <c r="E680" s="4" t="s">
        <v>73</v>
      </c>
      <c r="F680" s="4" t="s">
        <v>74</v>
      </c>
      <c r="G680" s="4" t="s">
        <v>432</v>
      </c>
    </row>
    <row r="681" customFormat="false" ht="15" hidden="false" customHeight="false" outlineLevel="0" collapsed="false">
      <c r="A681" s="4" t="s">
        <v>407</v>
      </c>
      <c r="B681" s="4" t="s">
        <v>408</v>
      </c>
      <c r="C681" s="4" t="s">
        <v>130</v>
      </c>
      <c r="D681" s="4" t="s">
        <v>153</v>
      </c>
      <c r="E681" s="4" t="s">
        <v>83</v>
      </c>
      <c r="F681" s="4" t="s">
        <v>79</v>
      </c>
      <c r="G681" s="4" t="s">
        <v>150</v>
      </c>
    </row>
    <row r="682" customFormat="false" ht="15" hidden="false" customHeight="false" outlineLevel="0" collapsed="false">
      <c r="A682" s="4" t="s">
        <v>407</v>
      </c>
      <c r="B682" s="4" t="s">
        <v>408</v>
      </c>
      <c r="C682" s="4" t="s">
        <v>130</v>
      </c>
      <c r="D682" s="4" t="s">
        <v>153</v>
      </c>
      <c r="E682" s="4" t="s">
        <v>102</v>
      </c>
      <c r="F682" s="4" t="s">
        <v>101</v>
      </c>
      <c r="G682" s="4" t="s">
        <v>150</v>
      </c>
    </row>
    <row r="683" customFormat="false" ht="15" hidden="false" customHeight="false" outlineLevel="0" collapsed="false">
      <c r="A683" s="4" t="s">
        <v>410</v>
      </c>
      <c r="B683" s="4" t="s">
        <v>411</v>
      </c>
      <c r="C683" s="4" t="s">
        <v>131</v>
      </c>
      <c r="D683" s="4" t="s">
        <v>144</v>
      </c>
      <c r="E683" s="4" t="s">
        <v>9</v>
      </c>
      <c r="F683" s="4" t="s">
        <v>10</v>
      </c>
      <c r="G683" s="4" t="s">
        <v>150</v>
      </c>
    </row>
    <row r="684" customFormat="false" ht="15" hidden="false" customHeight="false" outlineLevel="0" collapsed="false">
      <c r="A684" s="4" t="s">
        <v>410</v>
      </c>
      <c r="B684" s="4" t="s">
        <v>411</v>
      </c>
      <c r="C684" s="4" t="s">
        <v>131</v>
      </c>
      <c r="D684" s="4" t="s">
        <v>144</v>
      </c>
      <c r="E684" s="4" t="s">
        <v>11</v>
      </c>
      <c r="F684" s="4" t="s">
        <v>10</v>
      </c>
      <c r="G684" s="4" t="s">
        <v>150</v>
      </c>
    </row>
    <row r="685" customFormat="false" ht="15" hidden="false" customHeight="false" outlineLevel="0" collapsed="false">
      <c r="A685" s="4" t="s">
        <v>410</v>
      </c>
      <c r="B685" s="4" t="s">
        <v>411</v>
      </c>
      <c r="C685" s="4" t="s">
        <v>131</v>
      </c>
      <c r="D685" s="4" t="s">
        <v>144</v>
      </c>
      <c r="E685" s="4" t="s">
        <v>12</v>
      </c>
      <c r="F685" s="4" t="s">
        <v>10</v>
      </c>
      <c r="G685" s="4" t="s">
        <v>150</v>
      </c>
    </row>
    <row r="686" customFormat="false" ht="15" hidden="false" customHeight="false" outlineLevel="0" collapsed="false">
      <c r="A686" s="4" t="s">
        <v>410</v>
      </c>
      <c r="B686" s="4" t="s">
        <v>411</v>
      </c>
      <c r="C686" s="4" t="s">
        <v>131</v>
      </c>
      <c r="D686" s="4" t="s">
        <v>144</v>
      </c>
      <c r="E686" s="4" t="s">
        <v>13</v>
      </c>
      <c r="F686" s="4" t="s">
        <v>10</v>
      </c>
      <c r="G686" s="4" t="s">
        <v>150</v>
      </c>
    </row>
    <row r="687" customFormat="false" ht="15" hidden="false" customHeight="false" outlineLevel="0" collapsed="false">
      <c r="A687" s="4" t="s">
        <v>410</v>
      </c>
      <c r="B687" s="4" t="s">
        <v>411</v>
      </c>
      <c r="C687" s="4" t="s">
        <v>131</v>
      </c>
      <c r="D687" s="4" t="s">
        <v>144</v>
      </c>
      <c r="E687" s="4" t="s">
        <v>15</v>
      </c>
      <c r="F687" s="4" t="s">
        <v>10</v>
      </c>
      <c r="G687" s="4" t="s">
        <v>150</v>
      </c>
    </row>
    <row r="688" customFormat="false" ht="15" hidden="false" customHeight="false" outlineLevel="0" collapsed="false">
      <c r="A688" s="4" t="s">
        <v>410</v>
      </c>
      <c r="B688" s="4" t="s">
        <v>411</v>
      </c>
      <c r="C688" s="4" t="s">
        <v>131</v>
      </c>
      <c r="D688" s="4" t="s">
        <v>144</v>
      </c>
      <c r="E688" s="4" t="s">
        <v>16</v>
      </c>
      <c r="F688" s="4" t="s">
        <v>10</v>
      </c>
      <c r="G688" s="4" t="s">
        <v>150</v>
      </c>
    </row>
    <row r="689" customFormat="false" ht="15" hidden="false" customHeight="false" outlineLevel="0" collapsed="false">
      <c r="A689" s="4" t="s">
        <v>410</v>
      </c>
      <c r="B689" s="4" t="s">
        <v>411</v>
      </c>
      <c r="C689" s="4" t="s">
        <v>131</v>
      </c>
      <c r="D689" s="4" t="s">
        <v>144</v>
      </c>
      <c r="E689" s="4" t="s">
        <v>17</v>
      </c>
      <c r="F689" s="4" t="s">
        <v>10</v>
      </c>
      <c r="G689" s="4" t="s">
        <v>150</v>
      </c>
    </row>
    <row r="690" customFormat="false" ht="15" hidden="false" customHeight="false" outlineLevel="0" collapsed="false">
      <c r="A690" s="4" t="s">
        <v>410</v>
      </c>
      <c r="B690" s="4" t="s">
        <v>411</v>
      </c>
      <c r="C690" s="4" t="s">
        <v>131</v>
      </c>
      <c r="D690" s="4" t="s">
        <v>144</v>
      </c>
      <c r="E690" s="4" t="s">
        <v>18</v>
      </c>
      <c r="F690" s="4" t="s">
        <v>10</v>
      </c>
      <c r="G690" s="4" t="s">
        <v>150</v>
      </c>
    </row>
    <row r="691" customFormat="false" ht="15" hidden="false" customHeight="false" outlineLevel="0" collapsed="false">
      <c r="A691" s="4" t="s">
        <v>410</v>
      </c>
      <c r="B691" s="4" t="s">
        <v>411</v>
      </c>
      <c r="C691" s="4" t="s">
        <v>131</v>
      </c>
      <c r="D691" s="4" t="s">
        <v>144</v>
      </c>
      <c r="E691" s="4" t="s">
        <v>19</v>
      </c>
      <c r="F691" s="4" t="s">
        <v>20</v>
      </c>
      <c r="G691" s="4" t="s">
        <v>150</v>
      </c>
    </row>
    <row r="692" customFormat="false" ht="15" hidden="false" customHeight="false" outlineLevel="0" collapsed="false">
      <c r="A692" s="4" t="s">
        <v>410</v>
      </c>
      <c r="B692" s="4" t="s">
        <v>411</v>
      </c>
      <c r="C692" s="4" t="s">
        <v>131</v>
      </c>
      <c r="D692" s="4" t="s">
        <v>144</v>
      </c>
      <c r="E692" s="4" t="s">
        <v>21</v>
      </c>
      <c r="F692" s="4" t="s">
        <v>20</v>
      </c>
      <c r="G692" s="4" t="s">
        <v>150</v>
      </c>
    </row>
    <row r="693" customFormat="false" ht="15" hidden="false" customHeight="false" outlineLevel="0" collapsed="false">
      <c r="A693" s="4" t="s">
        <v>410</v>
      </c>
      <c r="B693" s="4" t="s">
        <v>411</v>
      </c>
      <c r="C693" s="4" t="s">
        <v>131</v>
      </c>
      <c r="D693" s="4" t="s">
        <v>144</v>
      </c>
      <c r="E693" s="4" t="s">
        <v>26</v>
      </c>
      <c r="F693" s="4" t="s">
        <v>25</v>
      </c>
      <c r="G693" s="4" t="s">
        <v>150</v>
      </c>
    </row>
    <row r="694" customFormat="false" ht="15" hidden="false" customHeight="false" outlineLevel="0" collapsed="false">
      <c r="A694" s="4" t="s">
        <v>410</v>
      </c>
      <c r="B694" s="4" t="s">
        <v>411</v>
      </c>
      <c r="C694" s="4" t="s">
        <v>131</v>
      </c>
      <c r="D694" s="4" t="s">
        <v>144</v>
      </c>
      <c r="E694" s="4" t="s">
        <v>27</v>
      </c>
      <c r="F694" s="4" t="s">
        <v>28</v>
      </c>
      <c r="G694" s="4" t="s">
        <v>150</v>
      </c>
    </row>
    <row r="695" customFormat="false" ht="15" hidden="false" customHeight="false" outlineLevel="0" collapsed="false">
      <c r="A695" s="4" t="s">
        <v>410</v>
      </c>
      <c r="B695" s="4" t="s">
        <v>411</v>
      </c>
      <c r="C695" s="4" t="s">
        <v>131</v>
      </c>
      <c r="D695" s="4" t="s">
        <v>144</v>
      </c>
      <c r="E695" s="4" t="s">
        <v>37</v>
      </c>
      <c r="F695" s="4" t="s">
        <v>36</v>
      </c>
      <c r="G695" s="4" t="s">
        <v>150</v>
      </c>
    </row>
    <row r="696" customFormat="false" ht="15" hidden="false" customHeight="false" outlineLevel="0" collapsed="false">
      <c r="A696" s="4" t="s">
        <v>410</v>
      </c>
      <c r="B696" s="4" t="s">
        <v>411</v>
      </c>
      <c r="C696" s="4" t="s">
        <v>131</v>
      </c>
      <c r="D696" s="4" t="s">
        <v>144</v>
      </c>
      <c r="E696" s="4" t="s">
        <v>41</v>
      </c>
      <c r="F696" s="4" t="s">
        <v>42</v>
      </c>
      <c r="G696" s="4" t="s">
        <v>150</v>
      </c>
    </row>
    <row r="697" customFormat="false" ht="15" hidden="false" customHeight="false" outlineLevel="0" collapsed="false">
      <c r="A697" s="4" t="s">
        <v>410</v>
      </c>
      <c r="B697" s="4" t="s">
        <v>411</v>
      </c>
      <c r="C697" s="4" t="s">
        <v>131</v>
      </c>
      <c r="D697" s="4" t="s">
        <v>144</v>
      </c>
      <c r="E697" s="4" t="s">
        <v>65</v>
      </c>
      <c r="F697" s="4" t="s">
        <v>66</v>
      </c>
      <c r="G697" s="4" t="s">
        <v>150</v>
      </c>
    </row>
    <row r="698" customFormat="false" ht="15" hidden="false" customHeight="false" outlineLevel="0" collapsed="false">
      <c r="A698" s="4" t="s">
        <v>410</v>
      </c>
      <c r="B698" s="4" t="s">
        <v>411</v>
      </c>
      <c r="C698" s="4" t="s">
        <v>131</v>
      </c>
      <c r="D698" s="4" t="s">
        <v>144</v>
      </c>
      <c r="E698" s="4" t="s">
        <v>68</v>
      </c>
      <c r="F698" s="4" t="s">
        <v>69</v>
      </c>
      <c r="G698" s="4" t="s">
        <v>150</v>
      </c>
    </row>
    <row r="699" customFormat="false" ht="15" hidden="false" customHeight="false" outlineLevel="0" collapsed="false">
      <c r="A699" s="4" t="s">
        <v>410</v>
      </c>
      <c r="B699" s="4" t="s">
        <v>411</v>
      </c>
      <c r="C699" s="4" t="s">
        <v>131</v>
      </c>
      <c r="D699" s="4" t="s">
        <v>144</v>
      </c>
      <c r="E699" s="4" t="s">
        <v>73</v>
      </c>
      <c r="F699" s="4" t="s">
        <v>74</v>
      </c>
      <c r="G699" s="4" t="s">
        <v>432</v>
      </c>
    </row>
    <row r="700" customFormat="false" ht="15" hidden="false" customHeight="false" outlineLevel="0" collapsed="false">
      <c r="A700" s="4" t="s">
        <v>410</v>
      </c>
      <c r="B700" s="4" t="s">
        <v>411</v>
      </c>
      <c r="C700" s="4" t="s">
        <v>131</v>
      </c>
      <c r="D700" s="4" t="s">
        <v>144</v>
      </c>
      <c r="E700" s="4" t="s">
        <v>76</v>
      </c>
      <c r="F700" s="4" t="s">
        <v>74</v>
      </c>
      <c r="G700" s="4" t="s">
        <v>150</v>
      </c>
    </row>
    <row r="701" customFormat="false" ht="15" hidden="false" customHeight="false" outlineLevel="0" collapsed="false">
      <c r="A701" s="4" t="s">
        <v>410</v>
      </c>
      <c r="B701" s="4" t="s">
        <v>411</v>
      </c>
      <c r="C701" s="4" t="s">
        <v>131</v>
      </c>
      <c r="D701" s="4" t="s">
        <v>144</v>
      </c>
      <c r="E701" s="4" t="s">
        <v>86</v>
      </c>
      <c r="F701" s="4" t="s">
        <v>79</v>
      </c>
      <c r="G701" s="4" t="s">
        <v>150</v>
      </c>
    </row>
    <row r="702" customFormat="false" ht="15" hidden="false" customHeight="false" outlineLevel="0" collapsed="false">
      <c r="A702" s="4" t="s">
        <v>410</v>
      </c>
      <c r="B702" s="4" t="s">
        <v>411</v>
      </c>
      <c r="C702" s="4" t="s">
        <v>131</v>
      </c>
      <c r="D702" s="4" t="s">
        <v>144</v>
      </c>
      <c r="E702" s="4" t="s">
        <v>100</v>
      </c>
      <c r="F702" s="4" t="s">
        <v>101</v>
      </c>
      <c r="G702" s="4" t="s">
        <v>150</v>
      </c>
    </row>
    <row r="703" customFormat="false" ht="15" hidden="false" customHeight="false" outlineLevel="0" collapsed="false">
      <c r="A703" s="4" t="s">
        <v>414</v>
      </c>
      <c r="B703" s="4" t="s">
        <v>415</v>
      </c>
      <c r="C703" s="4" t="s">
        <v>131</v>
      </c>
      <c r="D703" s="4" t="s">
        <v>144</v>
      </c>
      <c r="E703" s="4" t="s">
        <v>9</v>
      </c>
      <c r="F703" s="4" t="s">
        <v>10</v>
      </c>
      <c r="G703" s="4" t="s">
        <v>432</v>
      </c>
    </row>
    <row r="704" customFormat="false" ht="15" hidden="false" customHeight="false" outlineLevel="0" collapsed="false">
      <c r="A704" s="4" t="s">
        <v>414</v>
      </c>
      <c r="B704" s="4" t="s">
        <v>415</v>
      </c>
      <c r="C704" s="4" t="s">
        <v>131</v>
      </c>
      <c r="D704" s="4" t="s">
        <v>144</v>
      </c>
      <c r="E704" s="4" t="s">
        <v>11</v>
      </c>
      <c r="F704" s="4" t="s">
        <v>10</v>
      </c>
      <c r="G704" s="4" t="s">
        <v>150</v>
      </c>
    </row>
    <row r="705" customFormat="false" ht="15" hidden="false" customHeight="false" outlineLevel="0" collapsed="false">
      <c r="A705" s="4" t="s">
        <v>414</v>
      </c>
      <c r="B705" s="4" t="s">
        <v>415</v>
      </c>
      <c r="C705" s="4" t="s">
        <v>131</v>
      </c>
      <c r="D705" s="4" t="s">
        <v>144</v>
      </c>
      <c r="E705" s="4" t="s">
        <v>12</v>
      </c>
      <c r="F705" s="4" t="s">
        <v>10</v>
      </c>
      <c r="G705" s="4" t="s">
        <v>150</v>
      </c>
    </row>
    <row r="706" customFormat="false" ht="15" hidden="false" customHeight="false" outlineLevel="0" collapsed="false">
      <c r="A706" s="4" t="s">
        <v>414</v>
      </c>
      <c r="B706" s="4" t="s">
        <v>415</v>
      </c>
      <c r="C706" s="4" t="s">
        <v>131</v>
      </c>
      <c r="D706" s="4" t="s">
        <v>144</v>
      </c>
      <c r="E706" s="4" t="s">
        <v>17</v>
      </c>
      <c r="F706" s="4" t="s">
        <v>10</v>
      </c>
      <c r="G706" s="4" t="s">
        <v>150</v>
      </c>
    </row>
    <row r="707" customFormat="false" ht="15" hidden="false" customHeight="false" outlineLevel="0" collapsed="false">
      <c r="A707" s="4" t="s">
        <v>414</v>
      </c>
      <c r="B707" s="4" t="s">
        <v>415</v>
      </c>
      <c r="C707" s="4" t="s">
        <v>131</v>
      </c>
      <c r="D707" s="4" t="s">
        <v>144</v>
      </c>
      <c r="E707" s="4" t="s">
        <v>18</v>
      </c>
      <c r="F707" s="4" t="s">
        <v>10</v>
      </c>
      <c r="G707" s="4" t="s">
        <v>432</v>
      </c>
    </row>
    <row r="708" customFormat="false" ht="15" hidden="false" customHeight="false" outlineLevel="0" collapsed="false">
      <c r="A708" s="4" t="s">
        <v>414</v>
      </c>
      <c r="B708" s="4" t="s">
        <v>415</v>
      </c>
      <c r="C708" s="4" t="s">
        <v>131</v>
      </c>
      <c r="D708" s="4" t="s">
        <v>144</v>
      </c>
      <c r="E708" s="4" t="s">
        <v>19</v>
      </c>
      <c r="F708" s="4" t="s">
        <v>20</v>
      </c>
      <c r="G708" s="4" t="s">
        <v>150</v>
      </c>
    </row>
    <row r="709" customFormat="false" ht="15" hidden="false" customHeight="false" outlineLevel="0" collapsed="false">
      <c r="A709" s="4" t="s">
        <v>414</v>
      </c>
      <c r="B709" s="4" t="s">
        <v>415</v>
      </c>
      <c r="C709" s="4" t="s">
        <v>131</v>
      </c>
      <c r="D709" s="4" t="s">
        <v>144</v>
      </c>
      <c r="E709" s="4" t="s">
        <v>40</v>
      </c>
      <c r="F709" s="4" t="s">
        <v>36</v>
      </c>
      <c r="G709" s="4" t="s">
        <v>432</v>
      </c>
    </row>
    <row r="710" customFormat="false" ht="15" hidden="false" customHeight="false" outlineLevel="0" collapsed="false">
      <c r="A710" s="4" t="s">
        <v>414</v>
      </c>
      <c r="B710" s="4" t="s">
        <v>415</v>
      </c>
      <c r="C710" s="4" t="s">
        <v>131</v>
      </c>
      <c r="D710" s="4" t="s">
        <v>144</v>
      </c>
      <c r="E710" s="4" t="s">
        <v>41</v>
      </c>
      <c r="F710" s="4" t="s">
        <v>42</v>
      </c>
      <c r="G710" s="4" t="s">
        <v>150</v>
      </c>
    </row>
    <row r="711" customFormat="false" ht="15" hidden="false" customHeight="false" outlineLevel="0" collapsed="false">
      <c r="A711" s="4" t="s">
        <v>414</v>
      </c>
      <c r="B711" s="4" t="s">
        <v>415</v>
      </c>
      <c r="C711" s="4" t="s">
        <v>131</v>
      </c>
      <c r="D711" s="4" t="s">
        <v>144</v>
      </c>
      <c r="E711" s="4" t="s">
        <v>65</v>
      </c>
      <c r="F711" s="4" t="s">
        <v>66</v>
      </c>
      <c r="G711" s="4" t="s">
        <v>432</v>
      </c>
    </row>
    <row r="712" customFormat="false" ht="15" hidden="false" customHeight="false" outlineLevel="0" collapsed="false">
      <c r="A712" s="4" t="s">
        <v>414</v>
      </c>
      <c r="B712" s="4" t="s">
        <v>415</v>
      </c>
      <c r="C712" s="4" t="s">
        <v>131</v>
      </c>
      <c r="D712" s="4" t="s">
        <v>144</v>
      </c>
      <c r="E712" s="4" t="s">
        <v>68</v>
      </c>
      <c r="F712" s="4" t="s">
        <v>69</v>
      </c>
      <c r="G712" s="4" t="s">
        <v>432</v>
      </c>
    </row>
    <row r="713" customFormat="false" ht="15" hidden="false" customHeight="false" outlineLevel="0" collapsed="false">
      <c r="A713" s="4" t="s">
        <v>414</v>
      </c>
      <c r="B713" s="4" t="s">
        <v>415</v>
      </c>
      <c r="C713" s="4" t="s">
        <v>131</v>
      </c>
      <c r="D713" s="4" t="s">
        <v>144</v>
      </c>
      <c r="E713" s="4" t="s">
        <v>73</v>
      </c>
      <c r="F713" s="4" t="s">
        <v>74</v>
      </c>
      <c r="G713" s="4" t="s">
        <v>432</v>
      </c>
    </row>
    <row r="714" customFormat="false" ht="15" hidden="false" customHeight="false" outlineLevel="0" collapsed="false">
      <c r="A714" s="4" t="s">
        <v>414</v>
      </c>
      <c r="B714" s="4" t="s">
        <v>415</v>
      </c>
      <c r="C714" s="4" t="s">
        <v>131</v>
      </c>
      <c r="D714" s="4" t="s">
        <v>144</v>
      </c>
      <c r="E714" s="4" t="s">
        <v>82</v>
      </c>
      <c r="F714" s="4" t="s">
        <v>79</v>
      </c>
      <c r="G714" s="4" t="s">
        <v>432</v>
      </c>
    </row>
    <row r="715" customFormat="false" ht="15" hidden="false" customHeight="false" outlineLevel="0" collapsed="false">
      <c r="A715" s="4" t="s">
        <v>414</v>
      </c>
      <c r="B715" s="4" t="s">
        <v>415</v>
      </c>
      <c r="C715" s="4" t="s">
        <v>131</v>
      </c>
      <c r="D715" s="4" t="s">
        <v>144</v>
      </c>
      <c r="E715" s="4" t="s">
        <v>86</v>
      </c>
      <c r="F715" s="4" t="s">
        <v>79</v>
      </c>
      <c r="G715" s="4" t="s">
        <v>150</v>
      </c>
    </row>
    <row r="716" customFormat="false" ht="15" hidden="false" customHeight="false" outlineLevel="0" collapsed="false">
      <c r="A716" s="4" t="s">
        <v>417</v>
      </c>
      <c r="B716" s="4" t="s">
        <v>418</v>
      </c>
      <c r="C716" s="4" t="s">
        <v>131</v>
      </c>
      <c r="D716" s="4" t="s">
        <v>153</v>
      </c>
      <c r="E716" s="4" t="s">
        <v>9</v>
      </c>
      <c r="F716" s="4" t="s">
        <v>10</v>
      </c>
      <c r="G716" s="4" t="s">
        <v>432</v>
      </c>
    </row>
    <row r="717" customFormat="false" ht="15" hidden="false" customHeight="false" outlineLevel="0" collapsed="false">
      <c r="A717" s="4" t="s">
        <v>417</v>
      </c>
      <c r="B717" s="4" t="s">
        <v>418</v>
      </c>
      <c r="C717" s="4" t="s">
        <v>131</v>
      </c>
      <c r="D717" s="4" t="s">
        <v>153</v>
      </c>
      <c r="E717" s="4" t="s">
        <v>11</v>
      </c>
      <c r="F717" s="4" t="s">
        <v>10</v>
      </c>
      <c r="G717" s="4" t="s">
        <v>432</v>
      </c>
    </row>
    <row r="718" customFormat="false" ht="15" hidden="false" customHeight="false" outlineLevel="0" collapsed="false">
      <c r="A718" s="4" t="s">
        <v>417</v>
      </c>
      <c r="B718" s="4" t="s">
        <v>418</v>
      </c>
      <c r="C718" s="4" t="s">
        <v>131</v>
      </c>
      <c r="D718" s="4" t="s">
        <v>153</v>
      </c>
      <c r="E718" s="4" t="s">
        <v>12</v>
      </c>
      <c r="F718" s="4" t="s">
        <v>10</v>
      </c>
      <c r="G718" s="4" t="s">
        <v>432</v>
      </c>
    </row>
    <row r="719" customFormat="false" ht="15" hidden="false" customHeight="false" outlineLevel="0" collapsed="false">
      <c r="A719" s="4" t="s">
        <v>417</v>
      </c>
      <c r="B719" s="4" t="s">
        <v>418</v>
      </c>
      <c r="C719" s="4" t="s">
        <v>131</v>
      </c>
      <c r="D719" s="4" t="s">
        <v>153</v>
      </c>
      <c r="E719" s="4" t="s">
        <v>13</v>
      </c>
      <c r="F719" s="4" t="s">
        <v>10</v>
      </c>
      <c r="G719" s="4" t="s">
        <v>432</v>
      </c>
    </row>
    <row r="720" customFormat="false" ht="15" hidden="false" customHeight="false" outlineLevel="0" collapsed="false">
      <c r="A720" s="4" t="s">
        <v>417</v>
      </c>
      <c r="B720" s="4" t="s">
        <v>418</v>
      </c>
      <c r="C720" s="4" t="s">
        <v>131</v>
      </c>
      <c r="D720" s="4" t="s">
        <v>153</v>
      </c>
      <c r="E720" s="4" t="s">
        <v>15</v>
      </c>
      <c r="F720" s="4" t="s">
        <v>10</v>
      </c>
      <c r="G720" s="4" t="s">
        <v>432</v>
      </c>
    </row>
    <row r="721" customFormat="false" ht="15" hidden="false" customHeight="false" outlineLevel="0" collapsed="false">
      <c r="A721" s="4" t="s">
        <v>417</v>
      </c>
      <c r="B721" s="4" t="s">
        <v>418</v>
      </c>
      <c r="C721" s="4" t="s">
        <v>131</v>
      </c>
      <c r="D721" s="4" t="s">
        <v>153</v>
      </c>
      <c r="E721" s="4" t="s">
        <v>16</v>
      </c>
      <c r="F721" s="4" t="s">
        <v>10</v>
      </c>
      <c r="G721" s="4" t="s">
        <v>432</v>
      </c>
    </row>
    <row r="722" customFormat="false" ht="15" hidden="false" customHeight="false" outlineLevel="0" collapsed="false">
      <c r="A722" s="4" t="s">
        <v>417</v>
      </c>
      <c r="B722" s="4" t="s">
        <v>418</v>
      </c>
      <c r="C722" s="4" t="s">
        <v>131</v>
      </c>
      <c r="D722" s="4" t="s">
        <v>153</v>
      </c>
      <c r="E722" s="4" t="s">
        <v>22</v>
      </c>
      <c r="F722" s="4" t="s">
        <v>20</v>
      </c>
      <c r="G722" s="4" t="s">
        <v>433</v>
      </c>
    </row>
    <row r="723" customFormat="false" ht="15" hidden="false" customHeight="false" outlineLevel="0" collapsed="false">
      <c r="A723" s="4" t="s">
        <v>417</v>
      </c>
      <c r="B723" s="4" t="s">
        <v>418</v>
      </c>
      <c r="C723" s="4" t="s">
        <v>131</v>
      </c>
      <c r="D723" s="4" t="s">
        <v>153</v>
      </c>
      <c r="E723" s="4" t="s">
        <v>33</v>
      </c>
      <c r="F723" s="4" t="s">
        <v>28</v>
      </c>
      <c r="G723" s="4" t="s">
        <v>150</v>
      </c>
    </row>
    <row r="724" customFormat="false" ht="15" hidden="false" customHeight="false" outlineLevel="0" collapsed="false">
      <c r="A724" s="4" t="s">
        <v>417</v>
      </c>
      <c r="B724" s="4" t="s">
        <v>418</v>
      </c>
      <c r="C724" s="4" t="s">
        <v>131</v>
      </c>
      <c r="D724" s="4" t="s">
        <v>153</v>
      </c>
      <c r="E724" s="4" t="s">
        <v>37</v>
      </c>
      <c r="F724" s="4" t="s">
        <v>36</v>
      </c>
      <c r="G724" s="4" t="s">
        <v>433</v>
      </c>
    </row>
    <row r="725" customFormat="false" ht="15" hidden="false" customHeight="false" outlineLevel="0" collapsed="false">
      <c r="A725" s="4" t="s">
        <v>417</v>
      </c>
      <c r="B725" s="4" t="s">
        <v>418</v>
      </c>
      <c r="C725" s="4" t="s">
        <v>131</v>
      </c>
      <c r="D725" s="4" t="s">
        <v>153</v>
      </c>
      <c r="E725" s="4" t="s">
        <v>41</v>
      </c>
      <c r="F725" s="4" t="s">
        <v>42</v>
      </c>
      <c r="G725" s="4" t="s">
        <v>150</v>
      </c>
    </row>
    <row r="726" customFormat="false" ht="15" hidden="false" customHeight="false" outlineLevel="0" collapsed="false">
      <c r="A726" s="4" t="s">
        <v>417</v>
      </c>
      <c r="B726" s="4" t="s">
        <v>418</v>
      </c>
      <c r="C726" s="4" t="s">
        <v>131</v>
      </c>
      <c r="D726" s="4" t="s">
        <v>153</v>
      </c>
      <c r="E726" s="4" t="s">
        <v>65</v>
      </c>
      <c r="F726" s="4" t="s">
        <v>66</v>
      </c>
      <c r="G726" s="4" t="s">
        <v>432</v>
      </c>
    </row>
    <row r="727" customFormat="false" ht="15" hidden="false" customHeight="false" outlineLevel="0" collapsed="false">
      <c r="A727" s="4" t="s">
        <v>417</v>
      </c>
      <c r="B727" s="4" t="s">
        <v>418</v>
      </c>
      <c r="C727" s="4" t="s">
        <v>131</v>
      </c>
      <c r="D727" s="4" t="s">
        <v>153</v>
      </c>
      <c r="E727" s="4" t="s">
        <v>68</v>
      </c>
      <c r="F727" s="4" t="s">
        <v>69</v>
      </c>
      <c r="G727" s="4" t="s">
        <v>432</v>
      </c>
    </row>
    <row r="728" customFormat="false" ht="15" hidden="false" customHeight="false" outlineLevel="0" collapsed="false">
      <c r="A728" s="4" t="s">
        <v>417</v>
      </c>
      <c r="B728" s="4" t="s">
        <v>418</v>
      </c>
      <c r="C728" s="4" t="s">
        <v>131</v>
      </c>
      <c r="D728" s="4" t="s">
        <v>153</v>
      </c>
      <c r="E728" s="4" t="s">
        <v>73</v>
      </c>
      <c r="F728" s="4" t="s">
        <v>74</v>
      </c>
      <c r="G728" s="4" t="s">
        <v>432</v>
      </c>
    </row>
    <row r="729" customFormat="false" ht="15" hidden="false" customHeight="false" outlineLevel="0" collapsed="false">
      <c r="A729" s="4" t="s">
        <v>417</v>
      </c>
      <c r="B729" s="4" t="s">
        <v>418</v>
      </c>
      <c r="C729" s="4" t="s">
        <v>131</v>
      </c>
      <c r="D729" s="4" t="s">
        <v>153</v>
      </c>
      <c r="E729" s="4" t="s">
        <v>86</v>
      </c>
      <c r="F729" s="4" t="s">
        <v>79</v>
      </c>
      <c r="G729" s="4" t="s">
        <v>150</v>
      </c>
    </row>
    <row r="730" customFormat="false" ht="15" hidden="false" customHeight="false" outlineLevel="0" collapsed="false">
      <c r="A730" s="4" t="s">
        <v>417</v>
      </c>
      <c r="B730" s="4" t="s">
        <v>418</v>
      </c>
      <c r="C730" s="4" t="s">
        <v>131</v>
      </c>
      <c r="D730" s="4" t="s">
        <v>153</v>
      </c>
      <c r="E730" s="4" t="s">
        <v>92</v>
      </c>
      <c r="F730" s="4" t="s">
        <v>93</v>
      </c>
      <c r="G730" s="4" t="s">
        <v>150</v>
      </c>
    </row>
    <row r="731" customFormat="false" ht="15" hidden="false" customHeight="false" outlineLevel="0" collapsed="false">
      <c r="A731" s="4" t="s">
        <v>420</v>
      </c>
      <c r="B731" s="4" t="s">
        <v>421</v>
      </c>
      <c r="C731" s="4" t="s">
        <v>132</v>
      </c>
      <c r="D731" s="4" t="s">
        <v>144</v>
      </c>
      <c r="E731" s="4" t="s">
        <v>9</v>
      </c>
      <c r="F731" s="4" t="s">
        <v>10</v>
      </c>
      <c r="G731" s="4" t="s">
        <v>433</v>
      </c>
    </row>
    <row r="732" customFormat="false" ht="15" hidden="false" customHeight="false" outlineLevel="0" collapsed="false">
      <c r="A732" s="4" t="s">
        <v>420</v>
      </c>
      <c r="B732" s="4" t="s">
        <v>421</v>
      </c>
      <c r="C732" s="4" t="s">
        <v>132</v>
      </c>
      <c r="D732" s="4" t="s">
        <v>144</v>
      </c>
      <c r="E732" s="4" t="s">
        <v>11</v>
      </c>
      <c r="F732" s="4" t="s">
        <v>10</v>
      </c>
      <c r="G732" s="4" t="s">
        <v>433</v>
      </c>
    </row>
    <row r="733" customFormat="false" ht="15" hidden="false" customHeight="false" outlineLevel="0" collapsed="false">
      <c r="A733" s="4" t="s">
        <v>420</v>
      </c>
      <c r="B733" s="4" t="s">
        <v>421</v>
      </c>
      <c r="C733" s="4" t="s">
        <v>132</v>
      </c>
      <c r="D733" s="4" t="s">
        <v>144</v>
      </c>
      <c r="E733" s="4" t="s">
        <v>12</v>
      </c>
      <c r="F733" s="4" t="s">
        <v>10</v>
      </c>
      <c r="G733" s="4" t="s">
        <v>433</v>
      </c>
    </row>
    <row r="734" customFormat="false" ht="15" hidden="false" customHeight="false" outlineLevel="0" collapsed="false">
      <c r="A734" s="4" t="s">
        <v>420</v>
      </c>
      <c r="B734" s="4" t="s">
        <v>421</v>
      </c>
      <c r="C734" s="4" t="s">
        <v>132</v>
      </c>
      <c r="D734" s="4" t="s">
        <v>144</v>
      </c>
      <c r="E734" s="4" t="s">
        <v>16</v>
      </c>
      <c r="F734" s="4" t="s">
        <v>10</v>
      </c>
      <c r="G734" s="4" t="s">
        <v>433</v>
      </c>
    </row>
    <row r="735" customFormat="false" ht="15" hidden="false" customHeight="false" outlineLevel="0" collapsed="false">
      <c r="A735" s="4" t="s">
        <v>420</v>
      </c>
      <c r="B735" s="4" t="s">
        <v>421</v>
      </c>
      <c r="C735" s="4" t="s">
        <v>132</v>
      </c>
      <c r="D735" s="4" t="s">
        <v>144</v>
      </c>
      <c r="E735" s="4" t="s">
        <v>17</v>
      </c>
      <c r="F735" s="4" t="s">
        <v>10</v>
      </c>
      <c r="G735" s="4" t="s">
        <v>433</v>
      </c>
    </row>
    <row r="736" customFormat="false" ht="15" hidden="false" customHeight="false" outlineLevel="0" collapsed="false">
      <c r="A736" s="4" t="s">
        <v>420</v>
      </c>
      <c r="B736" s="4" t="s">
        <v>421</v>
      </c>
      <c r="C736" s="4" t="s">
        <v>132</v>
      </c>
      <c r="D736" s="4" t="s">
        <v>144</v>
      </c>
      <c r="E736" s="4" t="s">
        <v>22</v>
      </c>
      <c r="F736" s="4" t="s">
        <v>20</v>
      </c>
      <c r="G736" s="4" t="s">
        <v>433</v>
      </c>
    </row>
    <row r="737" customFormat="false" ht="15" hidden="false" customHeight="false" outlineLevel="0" collapsed="false">
      <c r="A737" s="4" t="s">
        <v>420</v>
      </c>
      <c r="B737" s="4" t="s">
        <v>421</v>
      </c>
      <c r="C737" s="4" t="s">
        <v>132</v>
      </c>
      <c r="D737" s="4" t="s">
        <v>144</v>
      </c>
      <c r="E737" s="4" t="s">
        <v>41</v>
      </c>
      <c r="F737" s="4" t="s">
        <v>42</v>
      </c>
      <c r="G737" s="4" t="s">
        <v>433</v>
      </c>
    </row>
    <row r="738" customFormat="false" ht="15" hidden="false" customHeight="false" outlineLevel="0" collapsed="false">
      <c r="A738" s="4" t="s">
        <v>420</v>
      </c>
      <c r="B738" s="4" t="s">
        <v>421</v>
      </c>
      <c r="C738" s="4" t="s">
        <v>132</v>
      </c>
      <c r="D738" s="4" t="s">
        <v>144</v>
      </c>
      <c r="E738" s="4" t="s">
        <v>45</v>
      </c>
      <c r="F738" s="4" t="s">
        <v>44</v>
      </c>
      <c r="G738" s="4" t="s">
        <v>433</v>
      </c>
    </row>
    <row r="739" customFormat="false" ht="15" hidden="false" customHeight="false" outlineLevel="0" collapsed="false">
      <c r="A739" s="4" t="s">
        <v>420</v>
      </c>
      <c r="B739" s="4" t="s">
        <v>421</v>
      </c>
      <c r="C739" s="4" t="s">
        <v>132</v>
      </c>
      <c r="D739" s="4" t="s">
        <v>144</v>
      </c>
      <c r="E739" s="4" t="s">
        <v>46</v>
      </c>
      <c r="F739" s="4" t="s">
        <v>44</v>
      </c>
      <c r="G739" s="4" t="s">
        <v>433</v>
      </c>
    </row>
    <row r="740" customFormat="false" ht="15" hidden="false" customHeight="false" outlineLevel="0" collapsed="false">
      <c r="A740" s="4" t="s">
        <v>420</v>
      </c>
      <c r="B740" s="4" t="s">
        <v>421</v>
      </c>
      <c r="C740" s="4" t="s">
        <v>132</v>
      </c>
      <c r="D740" s="4" t="s">
        <v>144</v>
      </c>
      <c r="E740" s="4" t="s">
        <v>49</v>
      </c>
      <c r="F740" s="4" t="s">
        <v>44</v>
      </c>
      <c r="G740" s="4" t="s">
        <v>433</v>
      </c>
    </row>
    <row r="741" customFormat="false" ht="15" hidden="false" customHeight="false" outlineLevel="0" collapsed="false">
      <c r="A741" s="4" t="s">
        <v>420</v>
      </c>
      <c r="B741" s="4" t="s">
        <v>421</v>
      </c>
      <c r="C741" s="4" t="s">
        <v>132</v>
      </c>
      <c r="D741" s="4" t="s">
        <v>144</v>
      </c>
      <c r="E741" s="4" t="s">
        <v>58</v>
      </c>
      <c r="F741" s="4" t="s">
        <v>57</v>
      </c>
      <c r="G741" s="4" t="s">
        <v>433</v>
      </c>
    </row>
    <row r="742" customFormat="false" ht="15" hidden="false" customHeight="false" outlineLevel="0" collapsed="false">
      <c r="A742" s="4" t="s">
        <v>420</v>
      </c>
      <c r="B742" s="4" t="s">
        <v>421</v>
      </c>
      <c r="C742" s="4" t="s">
        <v>132</v>
      </c>
      <c r="D742" s="4" t="s">
        <v>144</v>
      </c>
      <c r="E742" s="4" t="s">
        <v>59</v>
      </c>
      <c r="F742" s="4" t="s">
        <v>57</v>
      </c>
      <c r="G742" s="4" t="s">
        <v>433</v>
      </c>
    </row>
    <row r="743" customFormat="false" ht="15" hidden="false" customHeight="false" outlineLevel="0" collapsed="false">
      <c r="A743" s="4" t="s">
        <v>420</v>
      </c>
      <c r="B743" s="4" t="s">
        <v>421</v>
      </c>
      <c r="C743" s="4" t="s">
        <v>132</v>
      </c>
      <c r="D743" s="4" t="s">
        <v>144</v>
      </c>
      <c r="E743" s="4" t="s">
        <v>61</v>
      </c>
      <c r="F743" s="4" t="s">
        <v>57</v>
      </c>
      <c r="G743" s="4" t="s">
        <v>433</v>
      </c>
    </row>
    <row r="744" customFormat="false" ht="15" hidden="false" customHeight="false" outlineLevel="0" collapsed="false">
      <c r="A744" s="4" t="s">
        <v>420</v>
      </c>
      <c r="B744" s="4" t="s">
        <v>421</v>
      </c>
      <c r="C744" s="4" t="s">
        <v>132</v>
      </c>
      <c r="D744" s="4" t="s">
        <v>144</v>
      </c>
      <c r="E744" s="4" t="s">
        <v>62</v>
      </c>
      <c r="F744" s="4" t="s">
        <v>63</v>
      </c>
      <c r="G744" s="4" t="s">
        <v>433</v>
      </c>
    </row>
    <row r="745" customFormat="false" ht="15" hidden="false" customHeight="false" outlineLevel="0" collapsed="false">
      <c r="A745" s="4" t="s">
        <v>420</v>
      </c>
      <c r="B745" s="4" t="s">
        <v>421</v>
      </c>
      <c r="C745" s="4" t="s">
        <v>132</v>
      </c>
      <c r="D745" s="4" t="s">
        <v>144</v>
      </c>
      <c r="E745" s="4" t="s">
        <v>65</v>
      </c>
      <c r="F745" s="4" t="s">
        <v>66</v>
      </c>
      <c r="G745" s="4" t="s">
        <v>433</v>
      </c>
    </row>
    <row r="746" customFormat="false" ht="15" hidden="false" customHeight="false" outlineLevel="0" collapsed="false">
      <c r="A746" s="4" t="s">
        <v>420</v>
      </c>
      <c r="B746" s="4" t="s">
        <v>421</v>
      </c>
      <c r="C746" s="4" t="s">
        <v>132</v>
      </c>
      <c r="D746" s="4" t="s">
        <v>144</v>
      </c>
      <c r="E746" s="4" t="s">
        <v>68</v>
      </c>
      <c r="F746" s="4" t="s">
        <v>69</v>
      </c>
      <c r="G746" s="4" t="s">
        <v>433</v>
      </c>
    </row>
    <row r="747" customFormat="false" ht="15" hidden="false" customHeight="false" outlineLevel="0" collapsed="false">
      <c r="A747" s="4" t="s">
        <v>420</v>
      </c>
      <c r="B747" s="4" t="s">
        <v>421</v>
      </c>
      <c r="C747" s="4" t="s">
        <v>132</v>
      </c>
      <c r="D747" s="4" t="s">
        <v>144</v>
      </c>
      <c r="E747" s="4" t="s">
        <v>70</v>
      </c>
      <c r="F747" s="4" t="s">
        <v>69</v>
      </c>
      <c r="G747" s="4" t="s">
        <v>433</v>
      </c>
    </row>
    <row r="748" customFormat="false" ht="15" hidden="false" customHeight="false" outlineLevel="0" collapsed="false">
      <c r="A748" s="4" t="s">
        <v>420</v>
      </c>
      <c r="B748" s="4" t="s">
        <v>421</v>
      </c>
      <c r="C748" s="4" t="s">
        <v>132</v>
      </c>
      <c r="D748" s="4" t="s">
        <v>144</v>
      </c>
      <c r="E748" s="4" t="s">
        <v>73</v>
      </c>
      <c r="F748" s="4" t="s">
        <v>74</v>
      </c>
      <c r="G748" s="4" t="s">
        <v>433</v>
      </c>
    </row>
    <row r="749" customFormat="false" ht="15" hidden="false" customHeight="false" outlineLevel="0" collapsed="false">
      <c r="A749" s="4" t="s">
        <v>420</v>
      </c>
      <c r="B749" s="4" t="s">
        <v>421</v>
      </c>
      <c r="C749" s="4" t="s">
        <v>132</v>
      </c>
      <c r="D749" s="4" t="s">
        <v>144</v>
      </c>
      <c r="E749" s="4" t="s">
        <v>75</v>
      </c>
      <c r="F749" s="4" t="s">
        <v>74</v>
      </c>
      <c r="G749" s="4" t="s">
        <v>433</v>
      </c>
    </row>
    <row r="750" customFormat="false" ht="15" hidden="false" customHeight="false" outlineLevel="0" collapsed="false">
      <c r="A750" s="4" t="s">
        <v>420</v>
      </c>
      <c r="B750" s="4" t="s">
        <v>421</v>
      </c>
      <c r="C750" s="4" t="s">
        <v>132</v>
      </c>
      <c r="D750" s="4" t="s">
        <v>144</v>
      </c>
      <c r="E750" s="4" t="s">
        <v>80</v>
      </c>
      <c r="F750" s="4" t="s">
        <v>79</v>
      </c>
      <c r="G750" s="4" t="s">
        <v>433</v>
      </c>
    </row>
    <row r="751" customFormat="false" ht="15" hidden="false" customHeight="false" outlineLevel="0" collapsed="false">
      <c r="A751" s="4" t="s">
        <v>420</v>
      </c>
      <c r="B751" s="4" t="s">
        <v>421</v>
      </c>
      <c r="C751" s="4" t="s">
        <v>132</v>
      </c>
      <c r="D751" s="4" t="s">
        <v>144</v>
      </c>
      <c r="E751" s="4" t="s">
        <v>81</v>
      </c>
      <c r="F751" s="4" t="s">
        <v>79</v>
      </c>
      <c r="G751" s="4" t="s">
        <v>433</v>
      </c>
    </row>
    <row r="752" customFormat="false" ht="15" hidden="false" customHeight="false" outlineLevel="0" collapsed="false">
      <c r="A752" s="4" t="s">
        <v>423</v>
      </c>
      <c r="B752" s="4" t="s">
        <v>424</v>
      </c>
      <c r="C752" s="4" t="s">
        <v>132</v>
      </c>
      <c r="D752" s="4" t="s">
        <v>153</v>
      </c>
      <c r="E752" s="4" t="s">
        <v>9</v>
      </c>
      <c r="F752" s="4" t="s">
        <v>10</v>
      </c>
      <c r="G752" s="4" t="s">
        <v>432</v>
      </c>
    </row>
    <row r="753" customFormat="false" ht="15" hidden="false" customHeight="false" outlineLevel="0" collapsed="false">
      <c r="A753" s="4" t="s">
        <v>423</v>
      </c>
      <c r="B753" s="4" t="s">
        <v>424</v>
      </c>
      <c r="C753" s="4" t="s">
        <v>132</v>
      </c>
      <c r="D753" s="4" t="s">
        <v>153</v>
      </c>
      <c r="E753" s="4" t="s">
        <v>11</v>
      </c>
      <c r="F753" s="4" t="s">
        <v>10</v>
      </c>
      <c r="G753" s="4" t="s">
        <v>432</v>
      </c>
    </row>
    <row r="754" customFormat="false" ht="15" hidden="false" customHeight="false" outlineLevel="0" collapsed="false">
      <c r="A754" s="4" t="s">
        <v>423</v>
      </c>
      <c r="B754" s="4" t="s">
        <v>424</v>
      </c>
      <c r="C754" s="4" t="s">
        <v>132</v>
      </c>
      <c r="D754" s="4" t="s">
        <v>153</v>
      </c>
      <c r="E754" s="4" t="s">
        <v>12</v>
      </c>
      <c r="F754" s="4" t="s">
        <v>10</v>
      </c>
      <c r="G754" s="4" t="s">
        <v>432</v>
      </c>
    </row>
    <row r="755" customFormat="false" ht="15" hidden="false" customHeight="false" outlineLevel="0" collapsed="false">
      <c r="A755" s="4" t="s">
        <v>423</v>
      </c>
      <c r="B755" s="4" t="s">
        <v>424</v>
      </c>
      <c r="C755" s="4" t="s">
        <v>132</v>
      </c>
      <c r="D755" s="4" t="s">
        <v>153</v>
      </c>
      <c r="E755" s="4" t="s">
        <v>21</v>
      </c>
      <c r="F755" s="4" t="s">
        <v>20</v>
      </c>
      <c r="G755" s="4" t="s">
        <v>150</v>
      </c>
    </row>
    <row r="756" customFormat="false" ht="15" hidden="false" customHeight="false" outlineLevel="0" collapsed="false">
      <c r="A756" s="4" t="s">
        <v>423</v>
      </c>
      <c r="B756" s="4" t="s">
        <v>424</v>
      </c>
      <c r="C756" s="4" t="s">
        <v>132</v>
      </c>
      <c r="D756" s="4" t="s">
        <v>153</v>
      </c>
      <c r="E756" s="4" t="s">
        <v>22</v>
      </c>
      <c r="F756" s="4" t="s">
        <v>20</v>
      </c>
      <c r="G756" s="4" t="s">
        <v>433</v>
      </c>
    </row>
    <row r="757" customFormat="false" ht="15" hidden="false" customHeight="false" outlineLevel="0" collapsed="false">
      <c r="A757" s="4" t="s">
        <v>423</v>
      </c>
      <c r="B757" s="4" t="s">
        <v>424</v>
      </c>
      <c r="C757" s="4" t="s">
        <v>132</v>
      </c>
      <c r="D757" s="4" t="s">
        <v>153</v>
      </c>
      <c r="E757" s="4" t="s">
        <v>41</v>
      </c>
      <c r="F757" s="4" t="s">
        <v>42</v>
      </c>
      <c r="G757" s="4" t="s">
        <v>432</v>
      </c>
    </row>
    <row r="758" customFormat="false" ht="15" hidden="false" customHeight="false" outlineLevel="0" collapsed="false">
      <c r="A758" s="4" t="s">
        <v>423</v>
      </c>
      <c r="B758" s="4" t="s">
        <v>424</v>
      </c>
      <c r="C758" s="4" t="s">
        <v>132</v>
      </c>
      <c r="D758" s="4" t="s">
        <v>153</v>
      </c>
      <c r="E758" s="4" t="s">
        <v>58</v>
      </c>
      <c r="F758" s="4" t="s">
        <v>57</v>
      </c>
      <c r="G758" s="4" t="s">
        <v>432</v>
      </c>
    </row>
    <row r="759" customFormat="false" ht="15" hidden="false" customHeight="false" outlineLevel="0" collapsed="false">
      <c r="A759" s="4" t="s">
        <v>423</v>
      </c>
      <c r="B759" s="4" t="s">
        <v>424</v>
      </c>
      <c r="C759" s="4" t="s">
        <v>132</v>
      </c>
      <c r="D759" s="4" t="s">
        <v>153</v>
      </c>
      <c r="E759" s="4" t="s">
        <v>65</v>
      </c>
      <c r="F759" s="4" t="s">
        <v>66</v>
      </c>
      <c r="G759" s="4" t="s">
        <v>432</v>
      </c>
    </row>
    <row r="760" customFormat="false" ht="15" hidden="false" customHeight="false" outlineLevel="0" collapsed="false">
      <c r="A760" s="4" t="s">
        <v>423</v>
      </c>
      <c r="B760" s="4" t="s">
        <v>424</v>
      </c>
      <c r="C760" s="4" t="s">
        <v>132</v>
      </c>
      <c r="D760" s="4" t="s">
        <v>153</v>
      </c>
      <c r="E760" s="4" t="s">
        <v>68</v>
      </c>
      <c r="F760" s="4" t="s">
        <v>69</v>
      </c>
      <c r="G760" s="4" t="s">
        <v>432</v>
      </c>
    </row>
    <row r="761" customFormat="false" ht="15" hidden="false" customHeight="false" outlineLevel="0" collapsed="false">
      <c r="A761" s="4" t="s">
        <v>423</v>
      </c>
      <c r="B761" s="4" t="s">
        <v>424</v>
      </c>
      <c r="C761" s="4" t="s">
        <v>132</v>
      </c>
      <c r="D761" s="4" t="s">
        <v>153</v>
      </c>
      <c r="E761" s="4" t="s">
        <v>76</v>
      </c>
      <c r="F761" s="4" t="s">
        <v>74</v>
      </c>
      <c r="G761" s="4" t="s">
        <v>150</v>
      </c>
    </row>
    <row r="762" customFormat="false" ht="15" hidden="false" customHeight="false" outlineLevel="0" collapsed="false">
      <c r="A762" s="4" t="s">
        <v>423</v>
      </c>
      <c r="B762" s="4" t="s">
        <v>424</v>
      </c>
      <c r="C762" s="4" t="s">
        <v>132</v>
      </c>
      <c r="D762" s="4" t="s">
        <v>153</v>
      </c>
      <c r="E762" s="4" t="s">
        <v>102</v>
      </c>
      <c r="F762" s="4" t="s">
        <v>101</v>
      </c>
      <c r="G762" s="4" t="s">
        <v>150</v>
      </c>
    </row>
    <row r="763" customFormat="false" ht="15" hidden="false" customHeight="false" outlineLevel="0" collapsed="false">
      <c r="A763" s="4" t="s">
        <v>427</v>
      </c>
      <c r="B763" s="4" t="s">
        <v>428</v>
      </c>
      <c r="C763" s="4" t="s">
        <v>131</v>
      </c>
      <c r="D763" s="4" t="s">
        <v>144</v>
      </c>
      <c r="E763" s="4" t="s">
        <v>17</v>
      </c>
      <c r="F763" s="4" t="s">
        <v>10</v>
      </c>
      <c r="G763" s="4" t="s">
        <v>150</v>
      </c>
    </row>
    <row r="764" customFormat="false" ht="15" hidden="false" customHeight="false" outlineLevel="0" collapsed="false">
      <c r="A764" s="4" t="s">
        <v>427</v>
      </c>
      <c r="B764" s="4" t="s">
        <v>428</v>
      </c>
      <c r="C764" s="4" t="s">
        <v>131</v>
      </c>
      <c r="D764" s="4" t="s">
        <v>144</v>
      </c>
      <c r="E764" s="4" t="s">
        <v>68</v>
      </c>
      <c r="F764" s="4" t="s">
        <v>69</v>
      </c>
      <c r="G764" s="4" t="s">
        <v>150</v>
      </c>
    </row>
    <row r="765" customFormat="false" ht="15" hidden="false" customHeight="false" outlineLevel="0" collapsed="false">
      <c r="A765" s="4" t="s">
        <v>427</v>
      </c>
      <c r="B765" s="4" t="s">
        <v>428</v>
      </c>
      <c r="C765" s="4" t="s">
        <v>131</v>
      </c>
      <c r="D765" s="4" t="s">
        <v>144</v>
      </c>
      <c r="E765" s="4" t="s">
        <v>76</v>
      </c>
      <c r="F765" s="4" t="s">
        <v>74</v>
      </c>
      <c r="G765" s="4" t="s">
        <v>150</v>
      </c>
    </row>
  </sheetData>
  <autoFilter ref="A1:G7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6" t="s">
        <v>435</v>
      </c>
    </row>
    <row r="2" customFormat="false" ht="15" hidden="false" customHeight="false" outlineLevel="0" collapsed="false">
      <c r="A2" s="3" t="s">
        <v>133</v>
      </c>
      <c r="B2" s="3" t="s">
        <v>134</v>
      </c>
      <c r="C2" s="3" t="s">
        <v>135</v>
      </c>
      <c r="D2" s="3" t="s">
        <v>6</v>
      </c>
      <c r="E2" s="3" t="s">
        <v>136</v>
      </c>
      <c r="F2" s="3" t="s">
        <v>436</v>
      </c>
      <c r="G2" s="3" t="s">
        <v>437</v>
      </c>
      <c r="H2" s="3" t="s">
        <v>438</v>
      </c>
    </row>
    <row r="3" customFormat="false" ht="15" hidden="false" customHeight="false" outlineLevel="0" collapsed="false">
      <c r="A3" s="4" t="n">
        <v>1</v>
      </c>
      <c r="B3" s="4" t="s">
        <v>155</v>
      </c>
      <c r="C3" s="4" t="s">
        <v>156</v>
      </c>
      <c r="D3" s="4" t="s">
        <v>117</v>
      </c>
      <c r="E3" s="4" t="s">
        <v>153</v>
      </c>
      <c r="F3" s="4" t="s">
        <v>157</v>
      </c>
      <c r="G3" s="15"/>
      <c r="H3" s="15"/>
    </row>
    <row r="4" customFormat="false" ht="15" hidden="false" customHeight="false" outlineLevel="0" collapsed="false">
      <c r="A4" s="4" t="n">
        <v>2</v>
      </c>
      <c r="B4" s="4" t="s">
        <v>177</v>
      </c>
      <c r="C4" s="4" t="s">
        <v>178</v>
      </c>
      <c r="D4" s="4" t="s">
        <v>118</v>
      </c>
      <c r="E4" s="4" t="s">
        <v>153</v>
      </c>
      <c r="F4" s="4" t="s">
        <v>157</v>
      </c>
      <c r="G4" s="15"/>
      <c r="H4" s="15"/>
    </row>
    <row r="5" customFormat="false" ht="15" hidden="false" customHeight="false" outlineLevel="0" collapsed="false">
      <c r="A5" s="4" t="n">
        <v>3</v>
      </c>
      <c r="B5" s="4" t="s">
        <v>179</v>
      </c>
      <c r="C5" s="4" t="s">
        <v>180</v>
      </c>
      <c r="D5" s="4" t="s">
        <v>118</v>
      </c>
      <c r="E5" s="4" t="s">
        <v>153</v>
      </c>
      <c r="F5" s="4" t="s">
        <v>157</v>
      </c>
      <c r="G5" s="15"/>
      <c r="H5" s="15"/>
    </row>
    <row r="6" customFormat="false" ht="15" hidden="false" customHeight="false" outlineLevel="0" collapsed="false">
      <c r="A6" s="4" t="n">
        <v>4</v>
      </c>
      <c r="B6" s="4" t="s">
        <v>189</v>
      </c>
      <c r="C6" s="4" t="s">
        <v>190</v>
      </c>
      <c r="D6" s="4" t="s">
        <v>119</v>
      </c>
      <c r="E6" s="4" t="s">
        <v>144</v>
      </c>
      <c r="F6" s="4" t="s">
        <v>157</v>
      </c>
      <c r="G6" s="15"/>
      <c r="H6" s="15"/>
    </row>
    <row r="7" customFormat="false" ht="15" hidden="false" customHeight="false" outlineLevel="0" collapsed="false">
      <c r="A7" s="4" t="n">
        <v>5</v>
      </c>
      <c r="B7" s="4" t="s">
        <v>201</v>
      </c>
      <c r="C7" s="4" t="s">
        <v>202</v>
      </c>
      <c r="D7" s="4" t="s">
        <v>119</v>
      </c>
      <c r="E7" s="4" t="s">
        <v>144</v>
      </c>
      <c r="F7" s="4" t="s">
        <v>157</v>
      </c>
      <c r="G7" s="15"/>
      <c r="H7" s="15"/>
    </row>
    <row r="8" customFormat="false" ht="15" hidden="false" customHeight="false" outlineLevel="0" collapsed="false">
      <c r="A8" s="4" t="n">
        <v>6</v>
      </c>
      <c r="B8" s="4" t="s">
        <v>203</v>
      </c>
      <c r="C8" s="4" t="s">
        <v>204</v>
      </c>
      <c r="D8" s="4" t="s">
        <v>119</v>
      </c>
      <c r="E8" s="4" t="s">
        <v>153</v>
      </c>
      <c r="F8" s="4" t="s">
        <v>157</v>
      </c>
      <c r="G8" s="15"/>
      <c r="H8" s="15"/>
    </row>
    <row r="9" customFormat="false" ht="15" hidden="false" customHeight="false" outlineLevel="0" collapsed="false">
      <c r="A9" s="4" t="n">
        <v>7</v>
      </c>
      <c r="B9" s="4" t="s">
        <v>235</v>
      </c>
      <c r="C9" s="4" t="s">
        <v>236</v>
      </c>
      <c r="D9" s="4" t="s">
        <v>121</v>
      </c>
      <c r="E9" s="4" t="s">
        <v>144</v>
      </c>
      <c r="F9" s="4" t="s">
        <v>157</v>
      </c>
      <c r="G9" s="15"/>
      <c r="H9" s="15"/>
    </row>
    <row r="10" customFormat="false" ht="15" hidden="false" customHeight="false" outlineLevel="0" collapsed="false">
      <c r="A10" s="4" t="n">
        <v>8</v>
      </c>
      <c r="B10" s="4" t="s">
        <v>241</v>
      </c>
      <c r="C10" s="4" t="s">
        <v>242</v>
      </c>
      <c r="D10" s="4" t="s">
        <v>121</v>
      </c>
      <c r="E10" s="4" t="s">
        <v>153</v>
      </c>
      <c r="F10" s="4" t="s">
        <v>157</v>
      </c>
      <c r="G10" s="15"/>
      <c r="H10" s="15"/>
    </row>
    <row r="11" customFormat="false" ht="15" hidden="false" customHeight="false" outlineLevel="0" collapsed="false">
      <c r="A11" s="4" t="n">
        <v>9</v>
      </c>
      <c r="B11" s="4" t="s">
        <v>243</v>
      </c>
      <c r="C11" s="4" t="s">
        <v>244</v>
      </c>
      <c r="D11" s="4" t="s">
        <v>121</v>
      </c>
      <c r="E11" s="4" t="s">
        <v>153</v>
      </c>
      <c r="F11" s="4" t="s">
        <v>157</v>
      </c>
      <c r="G11" s="15"/>
      <c r="H11" s="15"/>
    </row>
    <row r="12" customFormat="false" ht="15" hidden="false" customHeight="false" outlineLevel="0" collapsed="false">
      <c r="A12" s="4" t="n">
        <v>10</v>
      </c>
      <c r="B12" s="4" t="s">
        <v>252</v>
      </c>
      <c r="C12" s="4" t="s">
        <v>253</v>
      </c>
      <c r="D12" s="4" t="s">
        <v>122</v>
      </c>
      <c r="E12" s="4" t="s">
        <v>153</v>
      </c>
      <c r="F12" s="4" t="s">
        <v>157</v>
      </c>
      <c r="G12" s="15"/>
      <c r="H12" s="15"/>
    </row>
    <row r="13" customFormat="false" ht="15" hidden="false" customHeight="false" outlineLevel="0" collapsed="false">
      <c r="A13" s="4" t="n">
        <v>11</v>
      </c>
      <c r="B13" s="4" t="s">
        <v>263</v>
      </c>
      <c r="C13" s="4" t="s">
        <v>264</v>
      </c>
      <c r="D13" s="4" t="s">
        <v>123</v>
      </c>
      <c r="E13" s="4" t="s">
        <v>153</v>
      </c>
      <c r="F13" s="4" t="s">
        <v>157</v>
      </c>
      <c r="G13" s="15"/>
      <c r="H13" s="15"/>
    </row>
    <row r="14" customFormat="false" ht="15" hidden="false" customHeight="false" outlineLevel="0" collapsed="false">
      <c r="A14" s="4" t="n">
        <v>12</v>
      </c>
      <c r="B14" s="4" t="s">
        <v>265</v>
      </c>
      <c r="C14" s="4" t="s">
        <v>266</v>
      </c>
      <c r="D14" s="4" t="s">
        <v>123</v>
      </c>
      <c r="E14" s="4" t="s">
        <v>153</v>
      </c>
      <c r="F14" s="4" t="s">
        <v>157</v>
      </c>
      <c r="G14" s="15"/>
      <c r="H14" s="15"/>
    </row>
    <row r="15" customFormat="false" ht="15" hidden="false" customHeight="false" outlineLevel="0" collapsed="false">
      <c r="A15" s="4" t="n">
        <v>13</v>
      </c>
      <c r="B15" s="4" t="s">
        <v>281</v>
      </c>
      <c r="C15" s="4" t="s">
        <v>282</v>
      </c>
      <c r="D15" s="4" t="s">
        <v>123</v>
      </c>
      <c r="E15" s="4" t="s">
        <v>153</v>
      </c>
      <c r="F15" s="4" t="s">
        <v>157</v>
      </c>
      <c r="G15" s="15"/>
      <c r="H15" s="15"/>
    </row>
    <row r="16" customFormat="false" ht="15" hidden="false" customHeight="false" outlineLevel="0" collapsed="false">
      <c r="A16" s="4" t="n">
        <v>14</v>
      </c>
      <c r="B16" s="4" t="s">
        <v>310</v>
      </c>
      <c r="C16" s="4" t="s">
        <v>311</v>
      </c>
      <c r="D16" s="4" t="s">
        <v>125</v>
      </c>
      <c r="E16" s="4" t="s">
        <v>153</v>
      </c>
      <c r="F16" s="4" t="s">
        <v>157</v>
      </c>
      <c r="G16" s="15"/>
      <c r="H16" s="15"/>
    </row>
    <row r="17" customFormat="false" ht="15" hidden="false" customHeight="false" outlineLevel="0" collapsed="false">
      <c r="A17" s="4" t="n">
        <v>15</v>
      </c>
      <c r="B17" s="4" t="s">
        <v>342</v>
      </c>
      <c r="C17" s="4" t="s">
        <v>343</v>
      </c>
      <c r="D17" s="4" t="s">
        <v>126</v>
      </c>
      <c r="E17" s="4" t="s">
        <v>153</v>
      </c>
      <c r="F17" s="4" t="s">
        <v>157</v>
      </c>
      <c r="G17" s="15"/>
      <c r="H17" s="15"/>
    </row>
    <row r="18" customFormat="false" ht="15" hidden="false" customHeight="false" outlineLevel="0" collapsed="false">
      <c r="A18" s="4" t="n">
        <v>16</v>
      </c>
      <c r="B18" s="4" t="s">
        <v>344</v>
      </c>
      <c r="C18" s="4" t="s">
        <v>345</v>
      </c>
      <c r="D18" s="4" t="s">
        <v>126</v>
      </c>
      <c r="E18" s="4" t="s">
        <v>153</v>
      </c>
      <c r="F18" s="4" t="s">
        <v>157</v>
      </c>
      <c r="G18" s="15"/>
      <c r="H18" s="15"/>
    </row>
    <row r="19" customFormat="false" ht="15" hidden="false" customHeight="false" outlineLevel="0" collapsed="false">
      <c r="A19" s="4" t="n">
        <v>17</v>
      </c>
      <c r="B19" s="4" t="s">
        <v>346</v>
      </c>
      <c r="C19" s="4" t="s">
        <v>347</v>
      </c>
      <c r="D19" s="4" t="s">
        <v>118</v>
      </c>
      <c r="E19" s="4" t="s">
        <v>153</v>
      </c>
      <c r="F19" s="4" t="s">
        <v>157</v>
      </c>
      <c r="G19" s="15"/>
      <c r="H19" s="15"/>
    </row>
    <row r="20" customFormat="false" ht="15" hidden="false" customHeight="false" outlineLevel="0" collapsed="false">
      <c r="A20" s="4" t="n">
        <v>18</v>
      </c>
      <c r="B20" s="4" t="s">
        <v>351</v>
      </c>
      <c r="C20" s="4" t="s">
        <v>352</v>
      </c>
      <c r="D20" s="4" t="s">
        <v>127</v>
      </c>
      <c r="E20" s="4" t="s">
        <v>144</v>
      </c>
      <c r="F20" s="4" t="s">
        <v>157</v>
      </c>
      <c r="G20" s="15"/>
      <c r="H20" s="15"/>
    </row>
    <row r="21" customFormat="false" ht="15" hidden="false" customHeight="false" outlineLevel="0" collapsed="false">
      <c r="A21" s="4" t="n">
        <v>19</v>
      </c>
      <c r="B21" s="4" t="s">
        <v>353</v>
      </c>
      <c r="C21" s="4" t="s">
        <v>354</v>
      </c>
      <c r="D21" s="4" t="s">
        <v>127</v>
      </c>
      <c r="E21" s="4" t="s">
        <v>144</v>
      </c>
      <c r="F21" s="4" t="s">
        <v>157</v>
      </c>
      <c r="G21" s="15"/>
      <c r="H21" s="15"/>
    </row>
    <row r="22" customFormat="false" ht="15" hidden="false" customHeight="false" outlineLevel="0" collapsed="false">
      <c r="A22" s="4" t="n">
        <v>20</v>
      </c>
      <c r="B22" s="4" t="s">
        <v>355</v>
      </c>
      <c r="C22" s="4" t="s">
        <v>356</v>
      </c>
      <c r="D22" s="4" t="s">
        <v>127</v>
      </c>
      <c r="E22" s="4" t="s">
        <v>153</v>
      </c>
      <c r="F22" s="4" t="s">
        <v>157</v>
      </c>
      <c r="G22" s="15"/>
      <c r="H22" s="15"/>
    </row>
    <row r="23" customFormat="false" ht="15" hidden="false" customHeight="false" outlineLevel="0" collapsed="false">
      <c r="A23" s="4" t="n">
        <v>21</v>
      </c>
      <c r="B23" s="4" t="s">
        <v>360</v>
      </c>
      <c r="C23" s="4" t="s">
        <v>361</v>
      </c>
      <c r="D23" s="4" t="s">
        <v>127</v>
      </c>
      <c r="E23" s="4" t="s">
        <v>153</v>
      </c>
      <c r="F23" s="4" t="s">
        <v>157</v>
      </c>
      <c r="G23" s="15"/>
      <c r="H23" s="15"/>
    </row>
    <row r="24" customFormat="false" ht="15" hidden="false" customHeight="false" outlineLevel="0" collapsed="false">
      <c r="A24" s="4" t="n">
        <v>22</v>
      </c>
      <c r="B24" s="4" t="s">
        <v>370</v>
      </c>
      <c r="C24" s="4" t="s">
        <v>371</v>
      </c>
      <c r="D24" s="4" t="s">
        <v>128</v>
      </c>
      <c r="E24" s="4" t="s">
        <v>144</v>
      </c>
      <c r="F24" s="4" t="s">
        <v>157</v>
      </c>
      <c r="G24" s="15"/>
      <c r="H24" s="15"/>
    </row>
    <row r="25" customFormat="false" ht="15" hidden="false" customHeight="false" outlineLevel="0" collapsed="false">
      <c r="A25" s="4" t="n">
        <v>23</v>
      </c>
      <c r="B25" s="4" t="s">
        <v>379</v>
      </c>
      <c r="C25" s="4" t="s">
        <v>380</v>
      </c>
      <c r="D25" s="4" t="s">
        <v>128</v>
      </c>
      <c r="E25" s="4" t="s">
        <v>153</v>
      </c>
      <c r="F25" s="4" t="s">
        <v>157</v>
      </c>
      <c r="G25" s="15"/>
      <c r="H25" s="15"/>
    </row>
    <row r="26" customFormat="false" ht="15" hidden="false" customHeight="false" outlineLevel="0" collapsed="false">
      <c r="A26" s="4" t="n">
        <v>24</v>
      </c>
      <c r="B26" s="4" t="s">
        <v>383</v>
      </c>
      <c r="C26" s="4" t="s">
        <v>384</v>
      </c>
      <c r="D26" s="4" t="s">
        <v>129</v>
      </c>
      <c r="E26" s="4" t="s">
        <v>153</v>
      </c>
      <c r="F26" s="4" t="s">
        <v>157</v>
      </c>
      <c r="G26" s="15"/>
      <c r="H26" s="15"/>
    </row>
    <row r="28" customFormat="false" ht="15" hidden="false" customHeight="false" outlineLevel="0" collapsed="false">
      <c r="A28" s="6" t="s">
        <v>439</v>
      </c>
    </row>
    <row r="29" customFormat="false" ht="15" hidden="false" customHeight="false" outlineLevel="0" collapsed="false">
      <c r="A29" s="4" t="s">
        <v>440</v>
      </c>
    </row>
    <row r="30" customFormat="false" ht="15" hidden="false" customHeight="false" outlineLevel="0" collapsed="false">
      <c r="A30" s="4" t="s">
        <v>441</v>
      </c>
    </row>
    <row r="31" customFormat="false" ht="15" hidden="false" customHeight="false" outlineLevel="0" collapsed="false">
      <c r="A31" s="4" t="s">
        <v>442</v>
      </c>
    </row>
    <row r="32" customFormat="false" ht="15" hidden="false" customHeight="false" outlineLevel="0" collapsed="false">
      <c r="A32" s="4" t="s">
        <v>443</v>
      </c>
    </row>
    <row r="33" customFormat="false" ht="15" hidden="false" customHeight="false" outlineLevel="0" collapsed="false">
      <c r="A33" s="4" t="s">
        <v>444</v>
      </c>
    </row>
    <row r="35" customFormat="false" ht="15" hidden="false" customHeight="false" outlineLevel="0" collapsed="false">
      <c r="A35" s="6" t="s">
        <v>445</v>
      </c>
    </row>
    <row r="36" customFormat="false" ht="60" hidden="false" customHeight="true" outlineLevel="0" collapsed="false">
      <c r="A36" s="16" t="s">
        <v>446</v>
      </c>
      <c r="B36" s="16"/>
      <c r="C36" s="16"/>
      <c r="D36" s="16"/>
      <c r="E36" s="16"/>
      <c r="F36" s="16"/>
      <c r="G36" s="16"/>
      <c r="H36" s="16"/>
    </row>
    <row r="38" customFormat="false" ht="15" hidden="false" customHeight="false" outlineLevel="0" collapsed="false">
      <c r="A38" s="6" t="s">
        <v>447</v>
      </c>
    </row>
    <row r="39" customFormat="false" ht="109.5" hidden="false" customHeight="true" outlineLevel="0" collapsed="false">
      <c r="A39" s="17" t="s">
        <v>448</v>
      </c>
      <c r="B39" s="17"/>
      <c r="C39" s="17"/>
      <c r="D39" s="17"/>
      <c r="E39" s="17"/>
      <c r="F39" s="17"/>
      <c r="G39" s="17"/>
      <c r="H39" s="17"/>
    </row>
  </sheetData>
  <mergeCells count="2">
    <mergeCell ref="A36:H36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6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8" t="s">
        <v>449</v>
      </c>
    </row>
    <row r="2" customFormat="false" ht="30" hidden="false" customHeight="true" outlineLevel="0" collapsed="false">
      <c r="A2" s="2" t="s">
        <v>450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6" t="s">
        <v>451</v>
      </c>
    </row>
    <row r="5" customFormat="false" ht="15" hidden="false" customHeight="false" outlineLevel="0" collapsed="false">
      <c r="A5" s="4" t="s">
        <v>452</v>
      </c>
      <c r="B5" s="19" t="n">
        <v>3.92</v>
      </c>
      <c r="C5" s="20" t="s">
        <v>453</v>
      </c>
    </row>
    <row r="6" customFormat="false" ht="15" hidden="false" customHeight="false" outlineLevel="0" collapsed="false">
      <c r="A6" s="4" t="s">
        <v>454</v>
      </c>
      <c r="B6" s="19" t="n">
        <v>16</v>
      </c>
      <c r="C6" s="20" t="s">
        <v>455</v>
      </c>
    </row>
    <row r="7" customFormat="false" ht="15" hidden="false" customHeight="false" outlineLevel="0" collapsed="false">
      <c r="A7" s="4" t="s">
        <v>456</v>
      </c>
      <c r="B7" s="21" t="n">
        <f aca="false">B5/B6</f>
        <v>0.245</v>
      </c>
      <c r="C7" s="20"/>
    </row>
    <row r="8" customFormat="false" ht="30" hidden="false" customHeight="true" outlineLevel="0" collapsed="false">
      <c r="A8" s="2" t="s">
        <v>457</v>
      </c>
      <c r="B8" s="2"/>
      <c r="C8" s="2"/>
      <c r="D8" s="2"/>
      <c r="E8" s="2"/>
      <c r="F8" s="2"/>
      <c r="G8" s="2"/>
      <c r="H8" s="2"/>
      <c r="I8" s="2"/>
    </row>
    <row r="10" customFormat="false" ht="45" hidden="false" customHeight="true" outlineLevel="0" collapsed="false">
      <c r="A10" s="8" t="s">
        <v>458</v>
      </c>
      <c r="B10" s="8" t="s">
        <v>459</v>
      </c>
      <c r="C10" s="8" t="s">
        <v>460</v>
      </c>
      <c r="D10" s="8" t="s">
        <v>461</v>
      </c>
      <c r="E10" s="8" t="s">
        <v>462</v>
      </c>
      <c r="F10" s="8" t="s">
        <v>463</v>
      </c>
      <c r="G10" s="8" t="s">
        <v>464</v>
      </c>
      <c r="H10" s="8" t="s">
        <v>465</v>
      </c>
      <c r="I10" s="8" t="s">
        <v>466</v>
      </c>
    </row>
    <row r="11" customFormat="false" ht="64.15" hidden="false" customHeight="false" outlineLevel="0" collapsed="false">
      <c r="A11" s="22" t="s">
        <v>117</v>
      </c>
      <c r="B11" s="22" t="s">
        <v>467</v>
      </c>
      <c r="C11" s="23" t="n">
        <v>29.99</v>
      </c>
      <c r="D11" s="24" t="n">
        <f aca="false">IF(ISNUMBER(C11),C11*$B$7,"[PENDIENTE] sin benchmark de categoría")</f>
        <v>7.34755</v>
      </c>
      <c r="E11" s="24" t="n">
        <v>23.74</v>
      </c>
      <c r="F11" s="22" t="s">
        <v>468</v>
      </c>
      <c r="G11" s="22" t="s">
        <v>469</v>
      </c>
      <c r="H11" s="22" t="s">
        <v>470</v>
      </c>
      <c r="I11" s="22" t="s">
        <v>471</v>
      </c>
    </row>
    <row r="12" customFormat="false" ht="64.15" hidden="false" customHeight="false" outlineLevel="0" collapsed="false">
      <c r="A12" s="22" t="s">
        <v>118</v>
      </c>
      <c r="B12" s="22" t="s">
        <v>472</v>
      </c>
      <c r="C12" s="23" t="n">
        <v>29.99</v>
      </c>
      <c r="D12" s="24" t="n">
        <f aca="false">IF(ISNUMBER(C12),C12*$B$7,"[PENDIENTE] sin benchmark de categoría")</f>
        <v>7.34755</v>
      </c>
      <c r="E12" s="24" t="n">
        <v>23.74</v>
      </c>
      <c r="F12" s="22" t="s">
        <v>473</v>
      </c>
      <c r="G12" s="22" t="s">
        <v>474</v>
      </c>
      <c r="H12" s="22" t="s">
        <v>470</v>
      </c>
      <c r="I12" s="22" t="s">
        <v>471</v>
      </c>
    </row>
    <row r="13" customFormat="false" ht="64.15" hidden="false" customHeight="false" outlineLevel="0" collapsed="false">
      <c r="A13" s="22" t="s">
        <v>119</v>
      </c>
      <c r="B13" s="22" t="s">
        <v>475</v>
      </c>
      <c r="C13" s="23" t="n">
        <v>29.99</v>
      </c>
      <c r="D13" s="24" t="n">
        <f aca="false">IF(ISNUMBER(C13),C13*$B$7,"[PENDIENTE] sin benchmark de categoría")</f>
        <v>7.34755</v>
      </c>
      <c r="E13" s="24" t="n">
        <v>23.74</v>
      </c>
      <c r="F13" s="22" t="s">
        <v>473</v>
      </c>
      <c r="G13" s="22" t="s">
        <v>476</v>
      </c>
      <c r="H13" s="22" t="s">
        <v>470</v>
      </c>
      <c r="I13" s="22" t="s">
        <v>477</v>
      </c>
    </row>
    <row r="14" customFormat="false" ht="53.7" hidden="false" customHeight="false" outlineLevel="0" collapsed="false">
      <c r="A14" s="22" t="s">
        <v>120</v>
      </c>
      <c r="B14" s="22" t="s">
        <v>478</v>
      </c>
      <c r="C14" s="23" t="s">
        <v>479</v>
      </c>
      <c r="D14" s="24" t="str">
        <f aca="false">IF(ISNUMBER(C14),C14*$B$7,"[PENDIENTE] sin benchmark de categoría")</f>
        <v>[PENDIENTE] sin benchmark de categoría</v>
      </c>
      <c r="E14" s="24" t="n">
        <v>23.74</v>
      </c>
      <c r="F14" s="22" t="s">
        <v>473</v>
      </c>
      <c r="G14" s="22" t="s">
        <v>480</v>
      </c>
      <c r="H14" s="22" t="s">
        <v>481</v>
      </c>
      <c r="I14" s="22" t="s">
        <v>477</v>
      </c>
    </row>
    <row r="15" customFormat="false" ht="64.15" hidden="false" customHeight="false" outlineLevel="0" collapsed="false">
      <c r="A15" s="22" t="s">
        <v>121</v>
      </c>
      <c r="B15" s="22" t="s">
        <v>482</v>
      </c>
      <c r="C15" s="23" t="n">
        <v>29.99</v>
      </c>
      <c r="D15" s="24" t="n">
        <f aca="false">IF(ISNUMBER(C15),C15*$B$7,"[PENDIENTE] sin benchmark de categoría")</f>
        <v>7.34755</v>
      </c>
      <c r="E15" s="24" t="n">
        <v>23.74</v>
      </c>
      <c r="F15" s="22" t="s">
        <v>473</v>
      </c>
      <c r="G15" s="22" t="s">
        <v>483</v>
      </c>
      <c r="H15" s="22" t="s">
        <v>470</v>
      </c>
      <c r="I15" s="22" t="s">
        <v>477</v>
      </c>
    </row>
    <row r="16" customFormat="false" ht="32.8" hidden="false" customHeight="false" outlineLevel="0" collapsed="false">
      <c r="A16" s="22" t="s">
        <v>122</v>
      </c>
      <c r="B16" s="22" t="s">
        <v>484</v>
      </c>
      <c r="C16" s="23" t="n">
        <v>29.99</v>
      </c>
      <c r="D16" s="24" t="n">
        <f aca="false">IF(ISNUMBER(C16),C16*$B$7,"[PENDIENTE] sin benchmark de categoría")</f>
        <v>7.34755</v>
      </c>
      <c r="E16" s="24" t="n">
        <v>23.74</v>
      </c>
      <c r="F16" s="22" t="s">
        <v>473</v>
      </c>
      <c r="G16" s="22" t="s">
        <v>485</v>
      </c>
      <c r="H16" s="22" t="s">
        <v>486</v>
      </c>
      <c r="I16" s="22" t="s">
        <v>471</v>
      </c>
    </row>
    <row r="17" customFormat="false" ht="64.15" hidden="false" customHeight="false" outlineLevel="0" collapsed="false">
      <c r="A17" s="22" t="s">
        <v>123</v>
      </c>
      <c r="B17" s="22" t="s">
        <v>487</v>
      </c>
      <c r="C17" s="23" t="n">
        <v>29.99</v>
      </c>
      <c r="D17" s="24" t="n">
        <f aca="false">IF(ISNUMBER(C17),C17*$B$7,"[PENDIENTE] sin benchmark de categoría")</f>
        <v>7.34755</v>
      </c>
      <c r="E17" s="24" t="n">
        <v>23.74</v>
      </c>
      <c r="F17" s="22" t="s">
        <v>473</v>
      </c>
      <c r="G17" s="22" t="s">
        <v>488</v>
      </c>
      <c r="H17" s="22" t="s">
        <v>470</v>
      </c>
      <c r="I17" s="22" t="s">
        <v>471</v>
      </c>
    </row>
    <row r="18" customFormat="false" ht="22.35" hidden="false" customHeight="false" outlineLevel="0" collapsed="false">
      <c r="A18" s="22" t="s">
        <v>124</v>
      </c>
      <c r="B18" s="22" t="s">
        <v>489</v>
      </c>
      <c r="C18" s="23" t="n">
        <v>29.99</v>
      </c>
      <c r="D18" s="24" t="n">
        <f aca="false">IF(ISNUMBER(C18),C18*$B$7,"[PENDIENTE] sin benchmark de categoría")</f>
        <v>7.34755</v>
      </c>
      <c r="E18" s="24" t="n">
        <v>23.74</v>
      </c>
      <c r="F18" s="22" t="s">
        <v>473</v>
      </c>
      <c r="G18" s="22" t="s">
        <v>490</v>
      </c>
      <c r="H18" s="22" t="s">
        <v>491</v>
      </c>
      <c r="I18" s="22" t="s">
        <v>477</v>
      </c>
    </row>
    <row r="19" customFormat="false" ht="22.35" hidden="false" customHeight="false" outlineLevel="0" collapsed="false">
      <c r="A19" s="22" t="s">
        <v>125</v>
      </c>
      <c r="B19" s="22" t="s">
        <v>492</v>
      </c>
      <c r="C19" s="23" t="n">
        <v>51.86</v>
      </c>
      <c r="D19" s="24" t="n">
        <f aca="false">IF(ISNUMBER(C19),C19*$B$7,"[PENDIENTE] sin benchmark de categoría")</f>
        <v>12.7057</v>
      </c>
      <c r="E19" s="24" t="n">
        <v>23.74</v>
      </c>
      <c r="F19" s="22" t="s">
        <v>473</v>
      </c>
      <c r="G19" s="22" t="s">
        <v>493</v>
      </c>
      <c r="H19" s="22" t="s">
        <v>494</v>
      </c>
      <c r="I19" s="22" t="s">
        <v>471</v>
      </c>
    </row>
    <row r="20" customFormat="false" ht="22.35" hidden="false" customHeight="false" outlineLevel="0" collapsed="false">
      <c r="A20" s="22" t="s">
        <v>126</v>
      </c>
      <c r="B20" s="22" t="s">
        <v>495</v>
      </c>
      <c r="C20" s="23" t="n">
        <v>29.99</v>
      </c>
      <c r="D20" s="24" t="n">
        <f aca="false">IF(ISNUMBER(C20),C20*$B$7,"[PENDIENTE] sin benchmark de categoría")</f>
        <v>7.34755</v>
      </c>
      <c r="E20" s="24" t="n">
        <v>23.74</v>
      </c>
      <c r="F20" s="22" t="s">
        <v>473</v>
      </c>
      <c r="G20" s="22" t="s">
        <v>496</v>
      </c>
      <c r="H20" s="22" t="s">
        <v>491</v>
      </c>
      <c r="I20" s="22" t="s">
        <v>477</v>
      </c>
    </row>
    <row r="21" customFormat="false" ht="53.7" hidden="false" customHeight="false" outlineLevel="0" collapsed="false">
      <c r="A21" s="22" t="s">
        <v>127</v>
      </c>
      <c r="B21" s="22" t="s">
        <v>497</v>
      </c>
      <c r="C21" s="23" t="s">
        <v>479</v>
      </c>
      <c r="D21" s="24" t="str">
        <f aca="false">IF(ISNUMBER(C21),C21*$B$7,"[PENDIENTE] sin benchmark de categoría")</f>
        <v>[PENDIENTE] sin benchmark de categoría</v>
      </c>
      <c r="E21" s="24" t="n">
        <v>23.74</v>
      </c>
      <c r="F21" s="22" t="s">
        <v>473</v>
      </c>
      <c r="G21" s="22" t="s">
        <v>498</v>
      </c>
      <c r="H21" s="22" t="s">
        <v>499</v>
      </c>
      <c r="I21" s="22" t="s">
        <v>477</v>
      </c>
    </row>
    <row r="22" customFormat="false" ht="32.8" hidden="false" customHeight="false" outlineLevel="0" collapsed="false">
      <c r="A22" s="22" t="s">
        <v>128</v>
      </c>
      <c r="B22" s="22" t="s">
        <v>500</v>
      </c>
      <c r="C22" s="23" t="s">
        <v>479</v>
      </c>
      <c r="D22" s="24" t="str">
        <f aca="false">IF(ISNUMBER(C22),C22*$B$7,"[PENDIENTE] sin benchmark de categoría")</f>
        <v>[PENDIENTE] sin benchmark de categoría</v>
      </c>
      <c r="E22" s="24" t="n">
        <v>23.74</v>
      </c>
      <c r="F22" s="22" t="s">
        <v>473</v>
      </c>
      <c r="G22" s="22" t="s">
        <v>501</v>
      </c>
      <c r="H22" s="22" t="s">
        <v>502</v>
      </c>
      <c r="I22" s="22" t="s">
        <v>477</v>
      </c>
    </row>
    <row r="23" customFormat="false" ht="22.35" hidden="false" customHeight="false" outlineLevel="0" collapsed="false">
      <c r="A23" s="22" t="s">
        <v>129</v>
      </c>
      <c r="B23" s="22" t="s">
        <v>503</v>
      </c>
      <c r="C23" s="23" t="s">
        <v>479</v>
      </c>
      <c r="D23" s="24" t="str">
        <f aca="false">IF(ISNUMBER(C23),C23*$B$7,"[PENDIENTE] sin benchmark de categoría")</f>
        <v>[PENDIENTE] sin benchmark de categoría</v>
      </c>
      <c r="E23" s="24" t="n">
        <v>23.74</v>
      </c>
      <c r="F23" s="22" t="s">
        <v>504</v>
      </c>
      <c r="G23" s="22" t="s">
        <v>505</v>
      </c>
      <c r="H23" s="22" t="s">
        <v>491</v>
      </c>
      <c r="I23" s="22" t="s">
        <v>477</v>
      </c>
    </row>
    <row r="24" customFormat="false" ht="22.35" hidden="false" customHeight="false" outlineLevel="0" collapsed="false">
      <c r="A24" s="22" t="s">
        <v>130</v>
      </c>
      <c r="B24" s="22" t="s">
        <v>506</v>
      </c>
      <c r="C24" s="23" t="n">
        <v>30.69</v>
      </c>
      <c r="D24" s="24" t="n">
        <f aca="false">IF(ISNUMBER(C24),C24*$B$7,"[PENDIENTE] sin benchmark de categoría")</f>
        <v>7.51905</v>
      </c>
      <c r="E24" s="24" t="n">
        <v>23.74</v>
      </c>
      <c r="F24" s="22" t="s">
        <v>473</v>
      </c>
      <c r="G24" s="22" t="s">
        <v>507</v>
      </c>
      <c r="H24" s="22" t="s">
        <v>494</v>
      </c>
      <c r="I24" s="22" t="s">
        <v>471</v>
      </c>
    </row>
    <row r="25" customFormat="false" ht="53.7" hidden="false" customHeight="false" outlineLevel="0" collapsed="false">
      <c r="A25" s="22" t="s">
        <v>131</v>
      </c>
      <c r="B25" s="22" t="s">
        <v>508</v>
      </c>
      <c r="C25" s="23" t="s">
        <v>479</v>
      </c>
      <c r="D25" s="24" t="str">
        <f aca="false">IF(ISNUMBER(C25),C25*$B$7,"[PENDIENTE] sin benchmark de categoría")</f>
        <v>[PENDIENTE] sin benchmark de categoría</v>
      </c>
      <c r="E25" s="24" t="n">
        <v>23.74</v>
      </c>
      <c r="F25" s="22" t="s">
        <v>509</v>
      </c>
      <c r="G25" s="22" t="s">
        <v>510</v>
      </c>
      <c r="H25" s="22" t="s">
        <v>511</v>
      </c>
      <c r="I25" s="22" t="s">
        <v>471</v>
      </c>
    </row>
    <row r="26" customFormat="false" ht="32.8" hidden="false" customHeight="false" outlineLevel="0" collapsed="false">
      <c r="A26" s="22" t="s">
        <v>132</v>
      </c>
      <c r="B26" s="22" t="s">
        <v>512</v>
      </c>
      <c r="C26" s="23" t="s">
        <v>479</v>
      </c>
      <c r="D26" s="24" t="str">
        <f aca="false">IF(ISNUMBER(C26),C26*$B$7,"[PENDIENTE] sin benchmark de categoría")</f>
        <v>[PENDIENTE] sin benchmark de categoría</v>
      </c>
      <c r="E26" s="24" t="n">
        <v>23.74</v>
      </c>
      <c r="F26" s="22" t="s">
        <v>473</v>
      </c>
      <c r="G26" s="22" t="s">
        <v>513</v>
      </c>
      <c r="H26" s="22" t="s">
        <v>502</v>
      </c>
      <c r="I26" s="22" t="s">
        <v>477</v>
      </c>
    </row>
    <row r="28" customFormat="false" ht="31.5" hidden="false" customHeight="true" outlineLevel="0" collapsed="false">
      <c r="A28" s="17" t="s">
        <v>514</v>
      </c>
      <c r="B28" s="17"/>
      <c r="C28" s="17"/>
      <c r="D28" s="17"/>
      <c r="E28" s="17"/>
      <c r="F28" s="17"/>
      <c r="G28" s="17"/>
      <c r="H28" s="17"/>
      <c r="I28" s="17"/>
    </row>
    <row r="29" customFormat="false" ht="31.5" hidden="false" customHeight="true" outlineLevel="0" collapsed="false">
      <c r="A29" s="17" t="s">
        <v>515</v>
      </c>
      <c r="B29" s="17"/>
      <c r="C29" s="17"/>
      <c r="D29" s="17"/>
      <c r="E29" s="17"/>
      <c r="F29" s="17"/>
      <c r="G29" s="17"/>
      <c r="H29" s="17"/>
      <c r="I29" s="17"/>
    </row>
    <row r="30" customFormat="false" ht="31.5" hidden="false" customHeight="true" outlineLevel="0" collapsed="false">
      <c r="A30" s="17" t="s">
        <v>516</v>
      </c>
      <c r="B30" s="17"/>
      <c r="C30" s="17"/>
      <c r="D30" s="17"/>
      <c r="E30" s="17"/>
      <c r="F30" s="17"/>
      <c r="G30" s="17"/>
      <c r="H30" s="17"/>
      <c r="I30" s="17"/>
    </row>
    <row r="31" customFormat="false" ht="31.5" hidden="false" customHeight="true" outlineLevel="0" collapsed="false">
      <c r="A31" s="17" t="s">
        <v>517</v>
      </c>
      <c r="B31" s="17"/>
      <c r="C31" s="17"/>
      <c r="D31" s="17"/>
      <c r="E31" s="17"/>
      <c r="F31" s="17"/>
      <c r="G31" s="17"/>
      <c r="H31" s="17"/>
      <c r="I31" s="17"/>
    </row>
  </sheetData>
  <mergeCells count="6">
    <mergeCell ref="A2:I2"/>
    <mergeCell ref="A8:I8"/>
    <mergeCell ref="A28:I28"/>
    <mergeCell ref="A29:I29"/>
    <mergeCell ref="A30:I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2026-08-21T16:01:44Z</dcterms:created>
  <dc:creator>openpyxl</dc:creator>
  <dc:description/>
  <dc:language>en-US</dc:language>
  <cp:lastModifiedBy/>
  <dcterms:modified xsi:type="dcterms:W3CDTF">2026-08-21T16:01:45Z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