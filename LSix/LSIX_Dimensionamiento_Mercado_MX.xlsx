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todologia" sheetId="1" state="visible" r:id="rId1"/>
    <sheet xmlns:r="http://schemas.openxmlformats.org/officeDocument/2006/relationships" name="Mercado_MX" sheetId="2" state="visible" r:id="rId2"/>
    <sheet xmlns:r="http://schemas.openxmlformats.org/officeDocument/2006/relationships" name="Inversion_por_Cuenta" sheetId="3" state="visible" r:id="rId3"/>
    <sheet xmlns:r="http://schemas.openxmlformats.org/officeDocument/2006/relationships" name="Ratios_Referencia" sheetId="4" state="visible" r:id="rId4"/>
    <sheet xmlns:r="http://schemas.openxmlformats.org/officeDocument/2006/relationships" name="Fuent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sz val="12"/>
    </font>
    <font>
      <name val="Arial"/>
      <charset val="1"/>
      <family val="0"/>
      <b val="1"/>
      <color rgb="FF2D7AFE"/>
      <sz val="10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B45309"/>
      <sz val="9"/>
    </font>
  </fonts>
  <fills count="8">
    <fill>
      <patternFill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E8F5E9"/>
        <bgColor rgb="FFE3F0FF"/>
      </patternFill>
    </fill>
    <fill>
      <patternFill patternType="solid">
        <fgColor rgb="FFE3F0FF"/>
        <bgColor rgb="FFE8F5E9"/>
      </patternFill>
    </fill>
    <fill>
      <patternFill patternType="solid">
        <fgColor rgb="FFFFF8E1"/>
        <bgColor rgb="FFFFF2CC"/>
      </patternFill>
    </fill>
    <fill>
      <patternFill patternType="solid">
        <fgColor rgb="FFFFF2CC"/>
        <bgColor rgb="FFFFF8E1"/>
      </patternFill>
    </fill>
    <fill>
      <patternFill patternType="solid">
        <fgColor rgb="FFF8D7DA"/>
        <bgColor rgb="FFDDDDD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 wrapText="1"/>
    </xf>
    <xf numFmtId="0" fontId="8" fillId="5" borderId="1" applyAlignment="1" pivotButton="0" quotePrefix="0" xfId="0">
      <alignment horizontal="general" vertical="top" wrapText="1"/>
    </xf>
    <xf numFmtId="0" fontId="13" fillId="6" borderId="1" applyAlignment="1" pivotButton="0" quotePrefix="0" xfId="0">
      <alignment horizontal="general" vertical="top" wrapText="1"/>
    </xf>
    <xf numFmtId="3" fontId="8" fillId="0" borderId="1" applyAlignment="1" pivotButton="0" quotePrefix="0" xfId="0">
      <alignment horizontal="general" vertical="top" wrapText="1"/>
    </xf>
    <xf numFmtId="3" fontId="9" fillId="0" borderId="1" applyAlignment="1" pivotButton="0" quotePrefix="0" xfId="0">
      <alignment horizontal="general" vertical="top" wrapText="1"/>
    </xf>
    <xf numFmtId="3" fontId="9" fillId="3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 wrapText="1"/>
    </xf>
    <xf numFmtId="0" fontId="8" fillId="6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 wrapText="1"/>
    </xf>
    <xf numFmtId="0" fontId="8" fillId="5" borderId="1" applyAlignment="1" pivotButton="0" quotePrefix="0" xfId="0">
      <alignment horizontal="general" vertical="top" wrapText="1"/>
    </xf>
    <xf numFmtId="0" fontId="13" fillId="6" borderId="1" applyAlignment="1" pivotButton="0" quotePrefix="0" xfId="0">
      <alignment horizontal="general" vertical="top" wrapText="1"/>
    </xf>
    <xf numFmtId="3" fontId="8" fillId="0" borderId="1" applyAlignment="1" pivotButton="0" quotePrefix="0" xfId="0">
      <alignment horizontal="general" vertical="top" wrapText="1"/>
    </xf>
    <xf numFmtId="3" fontId="9" fillId="0" borderId="1" applyAlignment="1" pivotButton="0" quotePrefix="0" xfId="0">
      <alignment horizontal="general" vertical="top" wrapText="1"/>
    </xf>
    <xf numFmtId="3" fontId="9" fillId="3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 wrapText="1"/>
    </xf>
    <xf numFmtId="0" fontId="8" fillId="6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3F0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2CC"/>
      <rgbColor rgb="FF99CCFF"/>
      <rgbColor rgb="FFFF99CC"/>
      <rgbColor rgb="FFCC99FF"/>
      <rgbColor rgb="FFF8D7DA"/>
      <rgbColor rgb="FF2D7AF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B45309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5" min="1" max="1"/>
    <col width="30" customWidth="1" style="25" min="2" max="2"/>
    <col width="16" customWidth="1" style="25" min="3" max="8"/>
  </cols>
  <sheetData>
    <row r="1" ht="17.35" customHeight="1" s="26">
      <c r="A1" s="27" t="inlineStr">
        <is>
          <t>Dimensionamiento del mercado e inversión digital por cuenta objetivo</t>
        </is>
      </c>
    </row>
    <row r="2" ht="15" customHeight="1" s="26">
      <c r="A2" s="28" t="inlineStr">
        <is>
          <t>LSIX México · elaborado 23-ago-2026 · fuentes primarias citadas en la hoja Fuentes</t>
        </is>
      </c>
    </row>
    <row r="4" ht="15" customHeight="1" s="26">
      <c r="A4" s="29" t="inlineStr">
        <is>
          <t>DECLARACIÓN DE MÉTODO</t>
        </is>
      </c>
    </row>
    <row r="6" ht="15" customHeight="1" s="26">
      <c r="A6" s="30" t="inlineStr">
        <is>
          <t>DETERMINÍSTICO — dato duro, verificable en fuente primaria</t>
        </is>
      </c>
    </row>
    <row r="7" ht="45.75" customHeight="1" s="26">
      <c r="A7" s="31" t="inlineStr">
        <is>
          <t>Tamaño del mercado publicitario y del eCommerce mexicano: cifras publicadas por IAB México, AVE, CiM y AMVO. Estas no se estiman: se citan. Cualquier número marcado como DET en este archivo tiene fuente, fecha y edición del estudio.</t>
        </is>
      </c>
    </row>
    <row r="9" ht="15" customHeight="1" s="26">
      <c r="A9" s="30" t="inlineStr">
        <is>
          <t>PROBABILÍSTICO — modelado con rango, no punto</t>
        </is>
      </c>
    </row>
    <row r="10" ht="45.75" customHeight="1" s="26">
      <c r="A10" s="31" t="inlineStr">
        <is>
          <t>La inversión digital por empresa NO es pública en México. Ninguna de estas compañías reporta gasto publicitario desagregado. Por lo tanto se modela con la fórmula declarada abajo y se expresa como rango (bajo / base / alto), nunca como cifra única. Cualquier número marcado como PROB es una estimación con intervalo, no un hecho.</t>
        </is>
      </c>
    </row>
    <row r="12" ht="15" customHeight="1" s="26">
      <c r="A12" s="30" t="inlineStr">
        <is>
          <t>LO QUE NO SE HACE</t>
        </is>
      </c>
    </row>
    <row r="13" ht="45.75" customHeight="1" s="26">
      <c r="A13" s="31" t="inlineStr">
        <is>
          <t>No se inventan cifras de facturación ni de inversión. Donde el input de revenue no está verificado, la celda queda marcada [VERIFICAR] y el modelo recalcula solo al sustituirla. El archivo está construido para que ustedes metan el dato real y el resultado se actualice.</t>
        </is>
      </c>
    </row>
    <row r="15" ht="15" customHeight="1" s="26">
      <c r="A15" s="29" t="inlineStr">
        <is>
          <t>LA FÓRMULA</t>
        </is>
      </c>
    </row>
    <row r="16" ht="15" customHeight="1" s="26">
      <c r="A16" s="32" t="inlineStr">
        <is>
          <t>Inversión digital estimada  =  Revenue relevante  ×  Ratio publicidad/ventas del sector  ×  Share digital del mix</t>
        </is>
      </c>
    </row>
    <row r="17" ht="15" customHeight="1" s="26">
      <c r="A17" s="33" t="n"/>
    </row>
    <row r="18" ht="15" customHeight="1" s="26">
      <c r="A18" s="33" t="inlineStr">
        <is>
          <t>· Revenue relevante: para retail omnicanal se usa el GMV del canal online, no la venta total. Para pure players y fintech, el revenue completo.</t>
        </is>
      </c>
    </row>
    <row r="19" ht="15" customHeight="1" s="26">
      <c r="A19" s="33" t="inlineStr">
        <is>
          <t>· Ratio publicidad/ventas: Schonfeld &amp; Associates, Advertising Ratios &amp; Budgets 2026 (fiscal 2025), por sector SIC. Es la referencia estándar de la industria.</t>
        </is>
      </c>
    </row>
    <row r="20" ht="15" customHeight="1" s="26">
      <c r="A20" s="33" t="inlineStr">
        <is>
          <t>· Share digital: 58.2% es el promedio del mercado mexicano (Valor Total Media 2025). Se ajusta hacia arriba en negocios nativos digitales, donde va de 80% a 95%.</t>
        </is>
      </c>
    </row>
    <row r="21" ht="15" customHeight="1" s="26">
      <c r="A21" s="33" t="n"/>
    </row>
    <row r="22" ht="15" customHeight="1" s="26">
      <c r="A22" s="33" t="inlineStr">
        <is>
          <t>Sobre ese resultado se calcula la PORCIÓN DIRECCIONABLE A CPA: la fracción del gasto digital que razonablemente puede migrar a un modelo de pago por resultado.</t>
        </is>
      </c>
    </row>
    <row r="23" ht="15" customHeight="1" s="26">
      <c r="A23" s="33" t="inlineStr">
        <is>
          <t>Se estima entre 15% y 35% según madurez del anunciante — es la parte que hoy va a retargeting, afiliados y adquisición de fondo de embudo.</t>
        </is>
      </c>
    </row>
    <row r="25" ht="15" customHeight="1" s="26">
      <c r="A25" s="34" t="inlineStr">
        <is>
          <t>NIVELES DE CONFIANZA USADOS</t>
        </is>
      </c>
    </row>
    <row r="26" ht="15" customHeight="1" s="26">
      <c r="A26" s="32" t="inlineStr">
        <is>
          <t>ALTA</t>
        </is>
      </c>
      <c r="B26" s="33" t="inlineStr">
        <is>
          <t>Revenue de fuente pública (empresa listada en BMV o reporte oficial). Rango del modelo ±25%.</t>
        </is>
      </c>
    </row>
    <row r="27" ht="15" customHeight="1" s="26">
      <c r="A27" s="32" t="inlineStr">
        <is>
          <t>MEDIA</t>
        </is>
      </c>
      <c r="B27" s="33" t="inlineStr">
        <is>
          <t>Revenue de prensa de industria o estimación de analistas. Rango del modelo ±40%.</t>
        </is>
      </c>
    </row>
    <row r="28" ht="15" customHeight="1" s="26">
      <c r="A28" s="32" t="inlineStr">
        <is>
          <t>BAJA</t>
        </is>
      </c>
      <c r="B28" s="33" t="inlineStr">
        <is>
          <t>Empresa privada sin cifras públicas. Revenue derivado por analogía de tamaño o participación. Rango ±60%. Tratar como orden de magnitud, no como número.</t>
        </is>
      </c>
    </row>
  </sheetData>
  <mergeCells count="14">
    <mergeCell ref="A18:H18"/>
    <mergeCell ref="A21:H21"/>
    <mergeCell ref="B26:H26"/>
    <mergeCell ref="B27:H27"/>
    <mergeCell ref="A7:H7"/>
    <mergeCell ref="A20:H20"/>
    <mergeCell ref="A16:H16"/>
    <mergeCell ref="A22:H22"/>
    <mergeCell ref="A10:H10"/>
    <mergeCell ref="A13:H13"/>
    <mergeCell ref="A19:H19"/>
    <mergeCell ref="A23:H23"/>
    <mergeCell ref="B28:H28"/>
    <mergeCell ref="A17:H17"/>
  </mergeCells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25" min="1" max="1"/>
    <col width="16" customWidth="1" style="25" min="2" max="2"/>
    <col width="20" customWidth="1" style="25" min="3" max="3"/>
    <col width="10" customWidth="1" style="25" min="4" max="4"/>
    <col width="12" customWidth="1" style="25" min="5" max="5"/>
    <col width="10" customWidth="1" style="25" min="6" max="6"/>
    <col width="66" customWidth="1" style="25" min="7" max="7"/>
  </cols>
  <sheetData>
    <row r="1" ht="16.15" customHeight="1" s="26">
      <c r="A1" s="35" t="inlineStr">
        <is>
          <t>El mercado mexicano — cifras determinísticas</t>
        </is>
      </c>
    </row>
    <row r="3" ht="36" customHeight="1" s="26">
      <c r="A3" s="36" t="n"/>
      <c r="B3" s="36" t="n"/>
      <c r="C3" s="36" t="n"/>
      <c r="D3" s="36" t="n"/>
      <c r="E3" s="36" t="n"/>
      <c r="F3" s="36" t="n"/>
      <c r="G3" s="36" t="n"/>
    </row>
    <row r="4" ht="15" customHeight="1" s="26">
      <c r="A4" s="25" t="inlineStr">
        <is>
          <t>Indicador</t>
        </is>
      </c>
      <c r="B4" s="25" t="inlineStr">
        <is>
          <t>Valor</t>
        </is>
      </c>
      <c r="C4" s="25" t="inlineStr">
        <is>
          <t>Unidad</t>
        </is>
      </c>
      <c r="D4" s="25" t="inlineStr">
        <is>
          <t>Año</t>
        </is>
      </c>
      <c r="E4" s="25" t="inlineStr">
        <is>
          <t>Variación</t>
        </is>
      </c>
      <c r="F4" s="25" t="inlineStr">
        <is>
          <t>Tipo</t>
        </is>
      </c>
      <c r="G4" s="25" t="inlineStr">
        <is>
          <t>Fuente</t>
        </is>
      </c>
    </row>
    <row r="5" ht="22.35" customHeight="1" s="26">
      <c r="A5" s="37" t="inlineStr">
        <is>
          <t>Inversión publicitaria total México</t>
        </is>
      </c>
      <c r="B5" s="37" t="inlineStr">
        <is>
          <t>140,306</t>
        </is>
      </c>
      <c r="C5" s="37" t="inlineStr">
        <is>
          <t>millones MXN</t>
        </is>
      </c>
      <c r="D5" s="37" t="inlineStr">
        <is>
          <t>2024</t>
        </is>
      </c>
      <c r="E5" s="37" t="inlineStr">
        <is>
          <t>+4.0%</t>
        </is>
      </c>
      <c r="F5" s="37" t="inlineStr">
        <is>
          <t>DET</t>
        </is>
      </c>
      <c r="G5" s="37" t="inlineStr">
        <is>
          <t>Estudio Valor Total Media 2025 (6ª ed.) — AVE + CiM + IAB México, con Nielsen, Comscore y eMarketer</t>
        </is>
      </c>
    </row>
    <row r="6" ht="15" customHeight="1" s="26">
      <c r="A6" s="37" t="inlineStr">
        <is>
          <t>Inversión publicitaria total México</t>
        </is>
      </c>
      <c r="B6" s="37" t="inlineStr">
        <is>
          <t>7,722</t>
        </is>
      </c>
      <c r="C6" s="37" t="inlineStr">
        <is>
          <t>millones USD</t>
        </is>
      </c>
      <c r="D6" s="37" t="inlineStr">
        <is>
          <t>2024</t>
        </is>
      </c>
      <c r="E6" s="37" t="inlineStr">
        <is>
          <t>+4.0%</t>
        </is>
      </c>
      <c r="F6" s="37" t="inlineStr">
        <is>
          <t>DET</t>
        </is>
      </c>
      <c r="G6" s="37" t="inlineStr">
        <is>
          <t>Idem</t>
        </is>
      </c>
    </row>
    <row r="7" ht="15" customHeight="1" s="26">
      <c r="A7" s="37" t="inlineStr">
        <is>
          <t>Inversión de iniciativa privada</t>
        </is>
      </c>
      <c r="B7" s="37" t="inlineStr">
        <is>
          <t>138,619</t>
        </is>
      </c>
      <c r="C7" s="37" t="inlineStr">
        <is>
          <t>millones MXN</t>
        </is>
      </c>
      <c r="D7" s="37" t="inlineStr">
        <is>
          <t>2024</t>
        </is>
      </c>
      <c r="E7" s="37" t="inlineStr">
        <is>
          <t>+4.2%</t>
        </is>
      </c>
      <c r="F7" s="37" t="inlineStr">
        <is>
          <t>DET</t>
        </is>
      </c>
      <c r="G7" s="37" t="inlineStr">
        <is>
          <t>Idem</t>
        </is>
      </c>
    </row>
    <row r="8" ht="15" customHeight="1" s="26">
      <c r="A8" s="37" t="inlineStr">
        <is>
          <t>Inversión de gobierno</t>
        </is>
      </c>
      <c r="B8" s="37" t="inlineStr">
        <is>
          <t>1,687</t>
        </is>
      </c>
      <c r="C8" s="37" t="inlineStr">
        <is>
          <t>millones MXN</t>
        </is>
      </c>
      <c r="D8" s="37" t="inlineStr">
        <is>
          <t>2024</t>
        </is>
      </c>
      <c r="E8" s="37" t="inlineStr">
        <is>
          <t>-11.0%</t>
        </is>
      </c>
      <c r="F8" s="37" t="inlineStr">
        <is>
          <t>DET</t>
        </is>
      </c>
      <c r="G8" s="37" t="inlineStr">
        <is>
          <t>Idem</t>
        </is>
      </c>
    </row>
    <row r="9" ht="15" customHeight="1" s="26">
      <c r="A9" s="37" t="inlineStr">
        <is>
          <t>Share digital del total publicitario</t>
        </is>
      </c>
      <c r="B9" s="37" t="inlineStr">
        <is>
          <t>58.2</t>
        </is>
      </c>
      <c r="C9" s="37" t="inlineStr">
        <is>
          <t>%</t>
        </is>
      </c>
      <c r="D9" s="37" t="inlineStr">
        <is>
          <t>2024</t>
        </is>
      </c>
      <c r="E9" s="37" t="inlineStr">
        <is>
          <t>—</t>
        </is>
      </c>
      <c r="F9" s="37" t="inlineStr">
        <is>
          <t>DET</t>
        </is>
      </c>
      <c r="G9" s="37" t="inlineStr">
        <is>
          <t>Idem — la digitalización deja de ser canal y pasa a ser infraestructura</t>
        </is>
      </c>
    </row>
    <row r="10" ht="15" customHeight="1" s="26">
      <c r="A10" s="38" t="inlineStr">
        <is>
          <t>INVERSIÓN DIGITAL ESTIMADA</t>
        </is>
      </c>
      <c r="B10" s="38" t="inlineStr">
        <is>
          <t>81,658</t>
        </is>
      </c>
      <c r="C10" s="38" t="inlineStr">
        <is>
          <t>millones MXN</t>
        </is>
      </c>
      <c r="D10" s="38" t="inlineStr">
        <is>
          <t>2024</t>
        </is>
      </c>
      <c r="E10" s="38" t="inlineStr">
        <is>
          <t>—</t>
        </is>
      </c>
      <c r="F10" s="38" t="inlineStr">
        <is>
          <t>DET×DET</t>
        </is>
      </c>
      <c r="G10" s="38" t="inlineStr">
        <is>
          <t>Cálculo directo: 140,306 × 58.2%</t>
        </is>
      </c>
    </row>
    <row r="11" ht="15" customHeight="1" s="26">
      <c r="A11" s="37" t="inlineStr">
        <is>
          <t>Aporte de CTV</t>
        </is>
      </c>
      <c r="B11" s="37" t="inlineStr">
        <is>
          <t>6,175</t>
        </is>
      </c>
      <c r="C11" s="37" t="inlineStr">
        <is>
          <t>millones MXN</t>
        </is>
      </c>
      <c r="D11" s="37" t="inlineStr">
        <is>
          <t>2024</t>
        </is>
      </c>
      <c r="E11" s="37" t="inlineStr">
        <is>
          <t>—</t>
        </is>
      </c>
      <c r="F11" s="37" t="inlineStr">
        <is>
          <t>DET</t>
        </is>
      </c>
      <c r="G11" s="37" t="inlineStr">
        <is>
          <t>Estudio Valor Total Media 2025</t>
        </is>
      </c>
    </row>
    <row r="12" ht="15" customHeight="1" s="26">
      <c r="A12" s="37" t="inlineStr">
        <is>
          <t>Share online proyectado</t>
        </is>
      </c>
      <c r="B12" s="37" t="inlineStr">
        <is>
          <t>57</t>
        </is>
      </c>
      <c r="C12" s="37" t="inlineStr">
        <is>
          <t>%</t>
        </is>
      </c>
      <c r="D12" s="37" t="inlineStr">
        <is>
          <t>2025</t>
        </is>
      </c>
      <c r="E12" s="37" t="inlineStr">
        <is>
          <t>—</t>
        </is>
      </c>
      <c r="F12" s="37" t="inlineStr">
        <is>
          <t>DET</t>
        </is>
      </c>
      <c r="G12" s="37" t="inlineStr">
        <is>
          <t>IAB México — Estudio de Inversión en Comunicación en Internet</t>
        </is>
      </c>
    </row>
    <row r="13" ht="15" customHeight="1" s="26">
      <c r="A13" s="37" t="n"/>
      <c r="B13" s="37" t="n"/>
      <c r="C13" s="37" t="n"/>
      <c r="D13" s="37" t="n"/>
      <c r="E13" s="37" t="n"/>
      <c r="F13" s="37" t="n"/>
      <c r="G13" s="37" t="n"/>
    </row>
    <row r="14" ht="15" customHeight="1" s="26">
      <c r="A14" s="39" t="inlineStr">
        <is>
          <t>Valor del eCommerce retail</t>
        </is>
      </c>
      <c r="B14" s="39" t="inlineStr">
        <is>
          <t>941,000</t>
        </is>
      </c>
      <c r="C14" s="39" t="inlineStr">
        <is>
          <t>millones MXN</t>
        </is>
      </c>
      <c r="D14" s="39" t="inlineStr">
        <is>
          <t>2025</t>
        </is>
      </c>
      <c r="E14" s="39" t="inlineStr">
        <is>
          <t>+19.2%</t>
        </is>
      </c>
      <c r="F14" s="39" t="inlineStr">
        <is>
          <t>DET</t>
        </is>
      </c>
      <c r="G14" s="39" t="inlineStr">
        <is>
          <t>AMVO — Estudio de Venta Online 2026</t>
        </is>
      </c>
    </row>
    <row r="15" ht="15" customHeight="1" s="26">
      <c r="A15" s="37" t="inlineStr">
        <is>
          <t>Penetración del eCommerce en retail</t>
        </is>
      </c>
      <c r="B15" s="37" t="inlineStr">
        <is>
          <t>17.7</t>
        </is>
      </c>
      <c r="C15" s="37" t="inlineStr">
        <is>
          <t>%</t>
        </is>
      </c>
      <c r="D15" s="37" t="inlineStr">
        <is>
          <t>2025</t>
        </is>
      </c>
      <c r="E15" s="37" t="inlineStr">
        <is>
          <t>—</t>
        </is>
      </c>
      <c r="F15" s="37" t="inlineStr">
        <is>
          <t>DET</t>
        </is>
      </c>
      <c r="G15" s="37" t="inlineStr">
        <is>
          <t>AMVO — por cada $100 de venta minorista, $17.7 son digitales</t>
        </is>
      </c>
    </row>
    <row r="16" ht="15" customHeight="1" s="26">
      <c r="A16" s="37" t="inlineStr">
        <is>
          <t>Compradores digitales</t>
        </is>
      </c>
      <c r="B16" s="37" t="inlineStr">
        <is>
          <t>77.2</t>
        </is>
      </c>
      <c r="C16" s="37" t="inlineStr">
        <is>
          <t>millones de personas</t>
        </is>
      </c>
      <c r="D16" s="37" t="inlineStr">
        <is>
          <t>2025</t>
        </is>
      </c>
      <c r="E16" s="37" t="inlineStr">
        <is>
          <t>—</t>
        </is>
      </c>
      <c r="F16" s="37" t="inlineStr">
        <is>
          <t>DET</t>
        </is>
      </c>
      <c r="G16" s="37" t="inlineStr">
        <is>
          <t>AMVO</t>
        </is>
      </c>
    </row>
    <row r="17" ht="15" customHeight="1" s="26">
      <c r="A17" s="37" t="inlineStr">
        <is>
          <t>Posición global de México</t>
        </is>
      </c>
      <c r="B17" s="37" t="inlineStr">
        <is>
          <t>8º</t>
        </is>
      </c>
      <c r="C17" s="37" t="inlineStr">
        <is>
          <t>lugar mundial</t>
        </is>
      </c>
      <c r="D17" s="37" t="inlineStr">
        <is>
          <t>2025</t>
        </is>
      </c>
      <c r="E17" s="37" t="inlineStr">
        <is>
          <t>—</t>
        </is>
      </c>
      <c r="F17" s="37" t="inlineStr">
        <is>
          <t>DET</t>
        </is>
      </c>
      <c r="G17" s="37" t="inlineStr">
        <is>
          <t>AMVO — por encima de EE.UU. y Singapur en crecimiento</t>
        </is>
      </c>
    </row>
    <row r="18" ht="15" customHeight="1" s="26">
      <c r="A18" s="37" t="inlineStr">
        <is>
          <t>Crecimiento pure players</t>
        </is>
      </c>
      <c r="B18" s="37" t="inlineStr">
        <is>
          <t>23.7</t>
        </is>
      </c>
      <c r="C18" s="37" t="inlineStr">
        <is>
          <t>%</t>
        </is>
      </c>
      <c r="D18" s="37" t="inlineStr">
        <is>
          <t>2025</t>
        </is>
      </c>
      <c r="E18" s="37" t="inlineStr">
        <is>
          <t>—</t>
        </is>
      </c>
      <c r="F18" s="37" t="inlineStr">
        <is>
          <t>DET</t>
        </is>
      </c>
      <c r="G18" s="37" t="inlineStr">
        <is>
          <t>AMVO — vs. 14.9% de los brick &amp; click</t>
        </is>
      </c>
    </row>
    <row r="19" ht="15" customHeight="1" s="26">
      <c r="A19" s="37" t="inlineStr">
        <is>
          <t>Ventas del Hot Sale</t>
        </is>
      </c>
      <c r="B19" s="37" t="inlineStr">
        <is>
          <t>~30,000</t>
        </is>
      </c>
      <c r="C19" s="37" t="inlineStr">
        <is>
          <t>millones MXN</t>
        </is>
      </c>
      <c r="D19" s="37" t="inlineStr">
        <is>
          <t>2025</t>
        </is>
      </c>
      <c r="E19" s="37" t="inlineStr">
        <is>
          <t>—</t>
        </is>
      </c>
      <c r="F19" s="37" t="inlineStr">
        <is>
          <t>DET</t>
        </is>
      </c>
      <c r="G19" s="37" t="inlineStr">
        <is>
          <t>AMVO — 680+ empresas participantes</t>
        </is>
      </c>
    </row>
    <row r="20" ht="15" customHeight="1" s="26">
      <c r="A20" s="37" t="inlineStr">
        <is>
          <t>PIB nacional</t>
        </is>
      </c>
      <c r="B20" s="37" t="inlineStr">
        <is>
          <t>0.8</t>
        </is>
      </c>
      <c r="C20" s="37" t="inlineStr">
        <is>
          <t>%</t>
        </is>
      </c>
      <c r="D20" s="37" t="inlineStr">
        <is>
          <t>2025</t>
        </is>
      </c>
      <c r="E20" s="37" t="inlineStr">
        <is>
          <t>—</t>
        </is>
      </c>
      <c r="F20" s="37" t="inlineStr">
        <is>
          <t>DET</t>
        </is>
      </c>
      <c r="G20" s="37" t="inlineStr">
        <is>
          <t>El eCommerce creció 25 veces más rápido que la economía</t>
        </is>
      </c>
    </row>
    <row r="21" ht="15" customHeight="1" s="26">
      <c r="A21" s="37" t="inlineStr">
        <is>
          <t>eCommerce retail LatAm</t>
        </is>
      </c>
      <c r="B21" s="37" t="inlineStr">
        <is>
          <t>15.9</t>
        </is>
      </c>
      <c r="C21" s="37" t="inlineStr">
        <is>
          <t>% del retail</t>
        </is>
      </c>
      <c r="D21" s="37" t="inlineStr">
        <is>
          <t>2025</t>
        </is>
      </c>
      <c r="E21" s="37" t="inlineStr">
        <is>
          <t>—</t>
        </is>
      </c>
      <c r="F21" s="37" t="inlineStr">
        <is>
          <t>DET</t>
        </is>
      </c>
      <c r="G21" s="37" t="inlineStr">
        <is>
          <t>AMVO — vs. promedio mundial de 8.4%</t>
        </is>
      </c>
    </row>
    <row r="23" ht="15" customHeight="1" s="26">
      <c r="A23" s="34" t="inlineStr">
        <is>
          <t>LECTURA PARA LSIX</t>
        </is>
      </c>
    </row>
    <row r="24" ht="27.75" customHeight="1" s="26">
      <c r="A24" s="31" t="inlineStr">
        <is>
          <t>El mercado digital mexicano vale del orden de 81,700 millones de pesos al año. No hay que crear demanda: hay que capturar reasignación.</t>
        </is>
      </c>
    </row>
    <row r="25" ht="27.75" customHeight="1" s="26">
      <c r="A25" s="31" t="inlineStr">
        <is>
          <t>El eCommerce retail (941 mil millones) crece 19.2% mientras el PIB crece 0.8%. Es el sexto sector más grande de la economía nacional.</t>
        </is>
      </c>
    </row>
    <row r="26" ht="27.75" customHeight="1" s="26">
      <c r="A26" s="31" t="inlineStr">
        <is>
          <t>Los pure players crecen 23.7% contra 14.9% de los brick &amp; click — y son justo los que compran a resultado sin objeción de fee de agencia.</t>
        </is>
      </c>
    </row>
    <row r="27" ht="27.75" customHeight="1" s="26">
      <c r="A27" s="31" t="inlineStr">
        <is>
          <t>El Hot Sale mueve ~30 mil millones en unos días con 680 empresas compitiendo por el mismo tráfico. Ahí el CPA garantizado vale más que el CPM barato.</t>
        </is>
      </c>
    </row>
  </sheetData>
  <mergeCells count="4">
    <mergeCell ref="A27:G27"/>
    <mergeCell ref="A26:G26"/>
    <mergeCell ref="A24:G24"/>
    <mergeCell ref="A25:G25"/>
  </mergeCells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M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6" customWidth="1" style="25" min="1" max="1"/>
    <col width="24" customWidth="1" style="25" min="2" max="2"/>
    <col width="12" customWidth="1" style="25" min="3" max="3"/>
    <col width="18" customWidth="1" style="25" min="4" max="4"/>
    <col width="16" customWidth="1" style="25" min="5" max="5"/>
    <col width="10" customWidth="1" style="25" min="6" max="7"/>
    <col width="17" customWidth="1" style="25" min="8" max="10"/>
    <col width="11" customWidth="1" style="25" min="11" max="11"/>
    <col width="16" customWidth="1" style="25" min="12" max="12"/>
    <col width="64" customWidth="1" style="25" min="13" max="13"/>
  </cols>
  <sheetData>
    <row r="1" ht="16.15" customHeight="1" s="26">
      <c r="A1" s="35" t="inlineStr">
        <is>
          <t>Inversión digital estimada por cuenta objetivo — MODELO PROBABILÍSTICO</t>
        </is>
      </c>
    </row>
    <row r="2" ht="31.5" customHeight="1" s="26">
      <c r="A2" s="40" t="inlineStr">
        <is>
          <t>TODAS las cifras de esta hoja son ESTIMACIONES MODELADAS, no datos reportados. Ninguna empresa mexicana publica su gasto digital desagregado. Las celdas amarillas son los inputs a verificar: al sustituirlos con el dato real, las columnas de salida recalculan solas.</t>
        </is>
      </c>
    </row>
    <row r="4" ht="36" customHeight="1" s="26">
      <c r="A4" s="36" t="inlineStr">
        <is>
          <t>Cuenta</t>
        </is>
      </c>
      <c r="B4" s="36" t="inlineStr">
        <is>
          <t>Categoría</t>
        </is>
      </c>
      <c r="C4" s="36" t="inlineStr">
        <is>
          <t>Confianza
del input</t>
        </is>
      </c>
      <c r="D4" s="36" t="inlineStr">
        <is>
          <t>Revenue relevante
(mdp MXN)</t>
        </is>
      </c>
      <c r="E4" s="36" t="inlineStr">
        <is>
          <t>Base usada</t>
        </is>
      </c>
      <c r="F4" s="36" t="inlineStr">
        <is>
          <t>Ratio pub/
ventas</t>
        </is>
      </c>
      <c r="G4" s="36" t="inlineStr">
        <is>
          <t>Share
digital</t>
        </is>
      </c>
      <c r="H4" s="36" t="inlineStr">
        <is>
          <t>Inversión digital
BAJA (mdp)</t>
        </is>
      </c>
      <c r="I4" s="36" t="inlineStr">
        <is>
          <t>Inversión digital
BASE (mdp)</t>
        </is>
      </c>
      <c r="J4" s="36" t="inlineStr">
        <is>
          <t>Inversión digital
ALTA (mdp)</t>
        </is>
      </c>
      <c r="K4" s="36" t="inlineStr">
        <is>
          <t>% direcc.
a CPA</t>
        </is>
      </c>
      <c r="L4" s="36" t="inlineStr">
        <is>
          <t>Bolsa CPA
BASE (mdp)</t>
        </is>
      </c>
      <c r="M4" s="36" t="inlineStr">
        <is>
          <t>Notas y método</t>
        </is>
      </c>
    </row>
    <row r="5" ht="22.35" customHeight="1" s="26">
      <c r="A5" s="37" t="inlineStr">
        <is>
          <t>Mercado Libre México</t>
        </is>
      </c>
      <c r="B5" s="37" t="inlineStr">
        <is>
          <t>Marketplace</t>
        </is>
      </c>
      <c r="C5" s="41" t="inlineStr">
        <is>
          <t>MEDIA</t>
        </is>
      </c>
      <c r="D5" s="42" t="inlineStr">
        <is>
          <t>[VERIFICAR]</t>
        </is>
      </c>
      <c r="E5" s="37" t="inlineStr">
        <is>
          <t>GMV México</t>
        </is>
      </c>
      <c r="F5" s="37" t="inlineStr">
        <is>
          <t>5.0%</t>
        </is>
      </c>
      <c r="G5" s="37" t="inlineStr">
        <is>
          <t>90%</t>
        </is>
      </c>
      <c r="H5" s="43">
        <f>IF(ISNUMBER($D5),$D5*$F5*$G5*(1-0.4),"")</f>
        <v/>
      </c>
      <c r="I5" s="44">
        <f>IF(ISNUMBER($D5),$D5*$F5*$G5,"")</f>
        <v/>
      </c>
      <c r="J5" s="43">
        <f>IF(ISNUMBER($D5),$D5*$F5*$G5*(1+0.4),"")</f>
        <v/>
      </c>
      <c r="K5" s="37" t="inlineStr">
        <is>
          <t>20%</t>
        </is>
      </c>
      <c r="L5" s="45">
        <f>IF(ISNUMBER($I5),$I5*$K5,"")</f>
        <v/>
      </c>
      <c r="M5" s="37" t="inlineStr">
        <is>
          <t>Revenue no desagregado por país en el reporte de MELI. Growth in-house + Mercado Ads propio: compite con el modelo más que comprarlo.</t>
        </is>
      </c>
    </row>
    <row r="6" ht="22.35" customHeight="1" s="26">
      <c r="A6" s="37" t="inlineStr">
        <is>
          <t>Amazon México</t>
        </is>
      </c>
      <c r="B6" s="37" t="inlineStr">
        <is>
          <t>Marketplace</t>
        </is>
      </c>
      <c r="C6" s="46" t="inlineStr">
        <is>
          <t>BAJA</t>
        </is>
      </c>
      <c r="D6" s="42" t="inlineStr">
        <is>
          <t>[VERIFICAR]</t>
        </is>
      </c>
      <c r="E6" s="37" t="inlineStr">
        <is>
          <t>GMV México</t>
        </is>
      </c>
      <c r="F6" s="37" t="inlineStr">
        <is>
          <t>6.0%</t>
        </is>
      </c>
      <c r="G6" s="37" t="inlineStr">
        <is>
          <t>90%</t>
        </is>
      </c>
      <c r="H6" s="43">
        <f>IF(ISNUMBER($D6),$D6*$F6*$G6*(1-0.6),"")</f>
        <v/>
      </c>
      <c r="I6" s="44">
        <f>IF(ISNUMBER($D6),$D6*$F6*$G6,"")</f>
        <v/>
      </c>
      <c r="J6" s="43">
        <f>IF(ISNUMBER($D6),$D6*$F6*$G6*(1+0.6),"")</f>
        <v/>
      </c>
      <c r="K6" s="37" t="inlineStr">
        <is>
          <t>15%</t>
        </is>
      </c>
      <c r="L6" s="45">
        <f>IF(ISNUMBER($I6),$I6*$K6,"")</f>
        <v/>
      </c>
      <c r="M6" s="37" t="inlineStr">
        <is>
          <t>Amazon no reporta México por separado. Ratio alto: catálogo/mail-order es el sector de mayor gasto publicitario del mundo.</t>
        </is>
      </c>
    </row>
    <row r="7" ht="22.35" customHeight="1" s="26">
      <c r="A7" s="37" t="inlineStr">
        <is>
          <t>Walmart de México</t>
        </is>
      </c>
      <c r="B7" s="37" t="inlineStr">
        <is>
          <t>Autoservicio</t>
        </is>
      </c>
      <c r="C7" s="47" t="inlineStr">
        <is>
          <t>ALTA</t>
        </is>
      </c>
      <c r="D7" s="42" t="inlineStr">
        <is>
          <t>[VERIFICAR]</t>
        </is>
      </c>
      <c r="E7" s="37" t="inlineStr">
        <is>
          <t>GMV online</t>
        </is>
      </c>
      <c r="F7" s="37" t="inlineStr">
        <is>
          <t>4.0%</t>
        </is>
      </c>
      <c r="G7" s="37" t="inlineStr">
        <is>
          <t>70%</t>
        </is>
      </c>
      <c r="H7" s="43">
        <f>IF(ISNUMBER($D7),$D7*$F7*$G7*(1-0.25),"")</f>
        <v/>
      </c>
      <c r="I7" s="44">
        <f>IF(ISNUMBER($D7),$D7*$F7*$G7,"")</f>
        <v/>
      </c>
      <c r="J7" s="43">
        <f>IF(ISNUMBER($D7),$D7*$F7*$G7*(1+0.25),"")</f>
        <v/>
      </c>
      <c r="K7" s="37" t="inlineStr">
        <is>
          <t>15%</t>
        </is>
      </c>
      <c r="L7" s="45">
        <f>IF(ISNUMBER($I7),$I7*$K7,"")</f>
        <v/>
      </c>
      <c r="M7" s="37" t="inlineStr">
        <is>
          <t>Listada en BMV, revenue total público. Usar solo el GMV del canal online. Walmart Connect propio reduce la bolsa direccionable.</t>
        </is>
      </c>
    </row>
    <row r="8" ht="22.35" customHeight="1" s="26">
      <c r="A8" s="37" t="inlineStr">
        <is>
          <t>Liverpool</t>
        </is>
      </c>
      <c r="B8" s="37" t="inlineStr">
        <is>
          <t>Departamental</t>
        </is>
      </c>
      <c r="C8" s="47" t="inlineStr">
        <is>
          <t>ALTA</t>
        </is>
      </c>
      <c r="D8" s="42" t="inlineStr">
        <is>
          <t>[VERIFICAR]</t>
        </is>
      </c>
      <c r="E8" s="37" t="inlineStr">
        <is>
          <t>GMV online</t>
        </is>
      </c>
      <c r="F8" s="37" t="inlineStr">
        <is>
          <t>5.5%</t>
        </is>
      </c>
      <c r="G8" s="37" t="inlineStr">
        <is>
          <t>75%</t>
        </is>
      </c>
      <c r="H8" s="43">
        <f>IF(ISNUMBER($D8),$D8*$F8*$G8*(1-0.25),"")</f>
        <v/>
      </c>
      <c r="I8" s="44">
        <f>IF(ISNUMBER($D8),$D8*$F8*$G8,"")</f>
        <v/>
      </c>
      <c r="J8" s="43">
        <f>IF(ISNUMBER($D8),$D8*$F8*$G8*(1+0.25),"")</f>
        <v/>
      </c>
      <c r="K8" s="37" t="inlineStr">
        <is>
          <t>20%</t>
        </is>
      </c>
      <c r="L8" s="45">
        <f>IF(ISNUMBER($I8),$I8*$K8,"")</f>
        <v/>
      </c>
      <c r="M8" s="37" t="inlineStr">
        <is>
          <t>Listada en BMV. Cuenta de medios en Publicis: la bolsa direccionable es la línea que el holding no cubre a riesgo.</t>
        </is>
      </c>
    </row>
    <row r="9" ht="22.35" customHeight="1" s="26">
      <c r="A9" s="37" t="inlineStr">
        <is>
          <t>Coppel</t>
        </is>
      </c>
      <c r="B9" s="37" t="inlineStr">
        <is>
          <t>Departamental</t>
        </is>
      </c>
      <c r="C9" s="41" t="inlineStr">
        <is>
          <t>MEDIA</t>
        </is>
      </c>
      <c r="D9" s="42" t="inlineStr">
        <is>
          <t>[VERIFICAR]</t>
        </is>
      </c>
      <c r="E9" s="37" t="inlineStr">
        <is>
          <t>GMV online</t>
        </is>
      </c>
      <c r="F9" s="37" t="inlineStr">
        <is>
          <t>5.0%</t>
        </is>
      </c>
      <c r="G9" s="37" t="inlineStr">
        <is>
          <t>70%</t>
        </is>
      </c>
      <c r="H9" s="43">
        <f>IF(ISNUMBER($D9),$D9*$F9*$G9*(1-0.4),"")</f>
        <v/>
      </c>
      <c r="I9" s="44">
        <f>IF(ISNUMBER($D9),$D9*$F9*$G9,"")</f>
        <v/>
      </c>
      <c r="J9" s="43">
        <f>IF(ISNUMBER($D9),$D9*$F9*$G9*(1+0.4),"")</f>
        <v/>
      </c>
      <c r="K9" s="37" t="inlineStr">
        <is>
          <t>25%</t>
        </is>
      </c>
      <c r="L9" s="45">
        <f>IF(ISNUMBER($I9),$I9*$K9,"")</f>
        <v/>
      </c>
      <c r="M9" s="37" t="inlineStr">
        <is>
          <t>Privada. Plan de transformación digital anunciado a 5 años: la bolsa digital está creciendo.</t>
        </is>
      </c>
    </row>
    <row r="10" ht="15" customHeight="1" s="26">
      <c r="A10" s="37" t="inlineStr">
        <is>
          <t>El Palacio de Hierro</t>
        </is>
      </c>
      <c r="B10" s="37" t="inlineStr">
        <is>
          <t>Departamental premium</t>
        </is>
      </c>
      <c r="C10" s="41" t="inlineStr">
        <is>
          <t>MEDIA</t>
        </is>
      </c>
      <c r="D10" s="42" t="inlineStr">
        <is>
          <t>[VERIFICAR]</t>
        </is>
      </c>
      <c r="E10" s="37" t="inlineStr">
        <is>
          <t>GMV online</t>
        </is>
      </c>
      <c r="F10" s="37" t="inlineStr">
        <is>
          <t>6.0%</t>
        </is>
      </c>
      <c r="G10" s="37" t="inlineStr">
        <is>
          <t>75%</t>
        </is>
      </c>
      <c r="H10" s="43">
        <f>IF(ISNUMBER($D10),$D10*$F10*$G10*(1-0.4),"")</f>
        <v/>
      </c>
      <c r="I10" s="44">
        <f>IF(ISNUMBER($D10),$D10*$F10*$G10,"")</f>
        <v/>
      </c>
      <c r="J10" s="43">
        <f>IF(ISNUMBER($D10),$D10*$F10*$G10*(1+0.4),"")</f>
        <v/>
      </c>
      <c r="K10" s="37" t="inlineStr">
        <is>
          <t>25%</t>
        </is>
      </c>
      <c r="L10" s="45">
        <f>IF(ISNUMBER($I10),$I10*$K10,"")</f>
        <v/>
      </c>
      <c r="M10" s="37" t="inlineStr">
        <is>
          <t>Ticket alto: modelo de % sobre revenue, no CPA fijo. Score de fit CPA 9 sobre 12.</t>
        </is>
      </c>
    </row>
    <row r="11" ht="22.35" customHeight="1" s="26">
      <c r="A11" s="37" t="inlineStr">
        <is>
          <t>Elektra / Baz</t>
        </is>
      </c>
      <c r="B11" s="37" t="inlineStr">
        <is>
          <t>Departamental + fintech</t>
        </is>
      </c>
      <c r="C11" s="47" t="inlineStr">
        <is>
          <t>ALTA</t>
        </is>
      </c>
      <c r="D11" s="42" t="inlineStr">
        <is>
          <t>[VERIFICAR]</t>
        </is>
      </c>
      <c r="E11" s="37" t="inlineStr">
        <is>
          <t>GMV online</t>
        </is>
      </c>
      <c r="F11" s="37" t="inlineStr">
        <is>
          <t>5.5%</t>
        </is>
      </c>
      <c r="G11" s="37" t="inlineStr">
        <is>
          <t>75%</t>
        </is>
      </c>
      <c r="H11" s="43">
        <f>IF(ISNUMBER($D11),$D11*$F11*$G11*(1-0.25),"")</f>
        <v/>
      </c>
      <c r="I11" s="44">
        <f>IF(ISNUMBER($D11),$D11*$F11*$G11,"")</f>
        <v/>
      </c>
      <c r="J11" s="43">
        <f>IF(ISNUMBER($D11),$D11*$F11*$G11*(1+0.25),"")</f>
        <v/>
      </c>
      <c r="K11" s="37" t="inlineStr">
        <is>
          <t>30%</t>
        </is>
      </c>
      <c r="L11" s="45">
        <f>IF(ISNUMBER($I11),$I11*$K11,"")</f>
        <v/>
      </c>
      <c r="M11" s="37" t="inlineStr">
        <is>
          <t>Grupo Salinas listado. Stack maduro (AppsFlyer + Adobe AAM + Emarsys): integración rápida.</t>
        </is>
      </c>
    </row>
    <row r="12" ht="22.35" customHeight="1" s="26">
      <c r="A12" s="37" t="inlineStr">
        <is>
          <t>Innovasport</t>
        </is>
      </c>
      <c r="B12" s="37" t="inlineStr">
        <is>
          <t>Deportes</t>
        </is>
      </c>
      <c r="C12" s="46" t="inlineStr">
        <is>
          <t>BAJA</t>
        </is>
      </c>
      <c r="D12" s="42" t="inlineStr">
        <is>
          <t>[VERIFICAR]</t>
        </is>
      </c>
      <c r="E12" s="37" t="inlineStr">
        <is>
          <t>GMV online</t>
        </is>
      </c>
      <c r="F12" s="37" t="inlineStr">
        <is>
          <t>6.0%</t>
        </is>
      </c>
      <c r="G12" s="37" t="inlineStr">
        <is>
          <t>85%</t>
        </is>
      </c>
      <c r="H12" s="43">
        <f>IF(ISNUMBER($D12),$D12*$F12*$G12*(1-0.6),"")</f>
        <v/>
      </c>
      <c r="I12" s="44">
        <f>IF(ISNUMBER($D12),$D12*$F12*$G12,"")</f>
        <v/>
      </c>
      <c r="J12" s="43">
        <f>IF(ISNUMBER($D12),$D12*$F12*$G12*(1+0.6),"")</f>
        <v/>
      </c>
      <c r="K12" s="37" t="inlineStr">
        <is>
          <t>35%</t>
        </is>
      </c>
      <c r="L12" s="45">
        <f>IF(ISNUMBER($I12),$I12*$K12,"")</f>
        <v/>
      </c>
      <c r="M12" s="37" t="inlineStr">
        <is>
          <t>Privada. Score de fit CPA 9: ya corre afiliados, RTB House, Criteo y AppsFlyer. La bolsa direccionable es alta porque ya compra a resultado.</t>
        </is>
      </c>
    </row>
    <row r="13" ht="15" customHeight="1" s="26">
      <c r="A13" s="37" t="inlineStr">
        <is>
          <t>Sodimac México</t>
        </is>
      </c>
      <c r="B13" s="37" t="inlineStr">
        <is>
          <t>Mejoramiento del hogar</t>
        </is>
      </c>
      <c r="C13" s="41" t="inlineStr">
        <is>
          <t>MEDIA</t>
        </is>
      </c>
      <c r="D13" s="42" t="inlineStr">
        <is>
          <t>[VERIFICAR]</t>
        </is>
      </c>
      <c r="E13" s="37" t="inlineStr">
        <is>
          <t>GMV online</t>
        </is>
      </c>
      <c r="F13" s="37" t="inlineStr">
        <is>
          <t>4.5%</t>
        </is>
      </c>
      <c r="G13" s="37" t="inlineStr">
        <is>
          <t>75%</t>
        </is>
      </c>
      <c r="H13" s="43">
        <f>IF(ISNUMBER($D13),$D13*$F13*$G13*(1-0.4),"")</f>
        <v/>
      </c>
      <c r="I13" s="44">
        <f>IF(ISNUMBER($D13),$D13*$F13*$G13,"")</f>
        <v/>
      </c>
      <c r="J13" s="43">
        <f>IF(ISNUMBER($D13),$D13*$F13*$G13*(1+0.4),"")</f>
        <v/>
      </c>
      <c r="K13" s="37" t="inlineStr">
        <is>
          <t>30%</t>
        </is>
      </c>
      <c r="L13" s="45">
        <f>IF(ISNUMBER($I13),$I13*$K13,"")</f>
        <v/>
      </c>
      <c r="M13" s="37" t="inlineStr">
        <is>
          <t>Falabella reporta consolidado. Stack fuerte: RTB House, Criteo, Awin, AppsFlyer.</t>
        </is>
      </c>
    </row>
    <row r="14" ht="22.35" customHeight="1" s="26">
      <c r="A14" s="37" t="inlineStr">
        <is>
          <t>Farmacias del Ahorro</t>
        </is>
      </c>
      <c r="B14" s="37" t="inlineStr">
        <is>
          <t>Farmacia</t>
        </is>
      </c>
      <c r="C14" s="41" t="inlineStr">
        <is>
          <t>MEDIA</t>
        </is>
      </c>
      <c r="D14" s="42" t="inlineStr">
        <is>
          <t>[VERIFICAR]</t>
        </is>
      </c>
      <c r="E14" s="37" t="inlineStr">
        <is>
          <t>GMV online</t>
        </is>
      </c>
      <c r="F14" s="37" t="inlineStr">
        <is>
          <t>3.0%</t>
        </is>
      </c>
      <c r="G14" s="37" t="inlineStr">
        <is>
          <t>70%</t>
        </is>
      </c>
      <c r="H14" s="43">
        <f>IF(ISNUMBER($D14),$D14*$F14*$G14*(1-0.4),"")</f>
        <v/>
      </c>
      <c r="I14" s="44">
        <f>IF(ISNUMBER($D14),$D14*$F14*$G14,"")</f>
        <v/>
      </c>
      <c r="J14" s="43">
        <f>IF(ISNUMBER($D14),$D14*$F14*$G14*(1+0.4),"")</f>
        <v/>
      </c>
      <c r="K14" s="37" t="inlineStr">
        <is>
          <t>30%</t>
        </is>
      </c>
      <c r="L14" s="45">
        <f>IF(ISNUMBER($I14),$I14*$K14,"")</f>
        <v/>
      </c>
      <c r="M14" s="37" t="inlineStr">
        <is>
          <t>Privada. AhorroMarket creció +149% en Hot Sale 2026. Ratio bajo: farmacia invierte menos en publicidad que moda.</t>
        </is>
      </c>
    </row>
    <row r="15" ht="22.35" customHeight="1" s="26">
      <c r="A15" s="37" t="inlineStr">
        <is>
          <t>Volaris</t>
        </is>
      </c>
      <c r="B15" s="37" t="inlineStr">
        <is>
          <t>Aerolínea</t>
        </is>
      </c>
      <c r="C15" s="47" t="inlineStr">
        <is>
          <t>ALTA</t>
        </is>
      </c>
      <c r="D15" s="42" t="inlineStr">
        <is>
          <t>[VERIFICAR]</t>
        </is>
      </c>
      <c r="E15" s="37" t="inlineStr">
        <is>
          <t>Revenue total</t>
        </is>
      </c>
      <c r="F15" s="37" t="inlineStr">
        <is>
          <t>3.5%</t>
        </is>
      </c>
      <c r="G15" s="37" t="inlineStr">
        <is>
          <t>85%</t>
        </is>
      </c>
      <c r="H15" s="43">
        <f>IF(ISNUMBER($D15),$D15*$F15*$G15*(1-0.25),"")</f>
        <v/>
      </c>
      <c r="I15" s="44">
        <f>IF(ISNUMBER($D15),$D15*$F15*$G15,"")</f>
        <v/>
      </c>
      <c r="J15" s="43">
        <f>IF(ISNUMBER($D15),$D15*$F15*$G15*(1+0.25),"")</f>
        <v/>
      </c>
      <c r="K15" s="37" t="inlineStr">
        <is>
          <t>25%</t>
        </is>
      </c>
      <c r="L15" s="45">
        <f>IF(ISNUMBER($I15),$I15*$K15,"")</f>
        <v/>
      </c>
      <c r="M15" s="37" t="inlineStr">
        <is>
          <t>Listada en BMV y NYSE. Transportation ratio Schonfeld 3.45%. Performance in-house maduro.</t>
        </is>
      </c>
    </row>
    <row r="16" ht="22.35" customHeight="1" s="26">
      <c r="A16" s="37" t="inlineStr">
        <is>
          <t>Alsea</t>
        </is>
      </c>
      <c r="B16" s="37" t="inlineStr">
        <is>
          <t>QSR</t>
        </is>
      </c>
      <c r="C16" s="47" t="inlineStr">
        <is>
          <t>ALTA</t>
        </is>
      </c>
      <c r="D16" s="42" t="inlineStr">
        <is>
          <t>[VERIFICAR]</t>
        </is>
      </c>
      <c r="E16" s="37" t="inlineStr">
        <is>
          <t>Venta digital</t>
        </is>
      </c>
      <c r="F16" s="37" t="inlineStr">
        <is>
          <t>4.5%</t>
        </is>
      </c>
      <c r="G16" s="37" t="inlineStr">
        <is>
          <t>70%</t>
        </is>
      </c>
      <c r="H16" s="43">
        <f>IF(ISNUMBER($D16),$D16*$F16*$G16*(1-0.25),"")</f>
        <v/>
      </c>
      <c r="I16" s="44">
        <f>IF(ISNUMBER($D16),$D16*$F16*$G16,"")</f>
        <v/>
      </c>
      <c r="J16" s="43">
        <f>IF(ISNUMBER($D16),$D16*$F16*$G16*(1+0.25),"")</f>
        <v/>
      </c>
      <c r="K16" s="37" t="inlineStr">
        <is>
          <t>20%</t>
        </is>
      </c>
      <c r="L16" s="45">
        <f>IF(ISNUMBER($I16),$I16*$K16,"")</f>
        <v/>
      </c>
      <c r="M16" s="37" t="inlineStr">
        <is>
          <t>Listada en BMV. Canal digital ya en 41.2% de ventas. Utilidad 1T2026 -65.7%: presión de eficiencia.</t>
        </is>
      </c>
    </row>
    <row r="17" ht="22.35" customHeight="1" s="26">
      <c r="A17" s="37" t="inlineStr">
        <is>
          <t>Cinépolis</t>
        </is>
      </c>
      <c r="B17" s="37" t="inlineStr">
        <is>
          <t>Entretenimiento</t>
        </is>
      </c>
      <c r="C17" s="46" t="inlineStr">
        <is>
          <t>BAJA</t>
        </is>
      </c>
      <c r="D17" s="42" t="inlineStr">
        <is>
          <t>[VERIFICAR]</t>
        </is>
      </c>
      <c r="E17" s="37" t="inlineStr">
        <is>
          <t>Venta online</t>
        </is>
      </c>
      <c r="F17" s="37" t="inlineStr">
        <is>
          <t>4.0%</t>
        </is>
      </c>
      <c r="G17" s="37" t="inlineStr">
        <is>
          <t>70%</t>
        </is>
      </c>
      <c r="H17" s="43">
        <f>IF(ISNUMBER($D17),$D17*$F17*$G17*(1-0.6),"")</f>
        <v/>
      </c>
      <c r="I17" s="44">
        <f>IF(ISNUMBER($D17),$D17*$F17*$G17,"")</f>
        <v/>
      </c>
      <c r="J17" s="43">
        <f>IF(ISNUMBER($D17),$D17*$F17*$G17*(1+0.6),"")</f>
        <v/>
      </c>
      <c r="K17" s="37" t="inlineStr">
        <is>
          <t>20%</t>
        </is>
      </c>
      <c r="L17" s="45">
        <f>IF(ISNUMBER($I17),$I17*$K17,"")</f>
        <v/>
      </c>
      <c r="M17" s="37" t="inlineStr">
        <is>
          <t>Privada. Cinépolis Media propio: entrar como demanda incremental, no como competidor.</t>
        </is>
      </c>
    </row>
    <row r="18" ht="22.35" customHeight="1" s="26">
      <c r="A18" s="37" t="inlineStr">
        <is>
          <t>Kueski Pay</t>
        </is>
      </c>
      <c r="B18" s="37" t="inlineStr">
        <is>
          <t>BNPL</t>
        </is>
      </c>
      <c r="C18" s="46" t="inlineStr">
        <is>
          <t>BAJA</t>
        </is>
      </c>
      <c r="D18" s="42" t="inlineStr">
        <is>
          <t>[VERIFICAR]</t>
        </is>
      </c>
      <c r="E18" s="37" t="inlineStr">
        <is>
          <t>Revenue</t>
        </is>
      </c>
      <c r="F18" s="37" t="inlineStr">
        <is>
          <t>12.0%</t>
        </is>
      </c>
      <c r="G18" s="37" t="inlineStr">
        <is>
          <t>95%</t>
        </is>
      </c>
      <c r="H18" s="43">
        <f>IF(ISNUMBER($D18),$D18*$F18*$G18*(1-0.6),"")</f>
        <v/>
      </c>
      <c r="I18" s="44">
        <f>IF(ISNUMBER($D18),$D18*$F18*$G18,"")</f>
        <v/>
      </c>
      <c r="J18" s="43">
        <f>IF(ISNUMBER($D18),$D18*$F18*$G18*(1+0.6),"")</f>
        <v/>
      </c>
      <c r="K18" s="37" t="inlineStr">
        <is>
          <t>45%</t>
        </is>
      </c>
      <c r="L18" s="45">
        <f>IF(ISNUMBER($I18),$I18*$K18,"")</f>
        <v/>
      </c>
      <c r="M18" s="37" t="inlineStr">
        <is>
          <t>Fintech: ratio alto porque el CAC es la línea principal de gasto. Sin agencia de por medio, casi todo el gasto es direccionable.</t>
        </is>
      </c>
    </row>
    <row r="19" ht="22.35" customHeight="1" s="26">
      <c r="A19" s="37" t="inlineStr">
        <is>
          <t>Stori</t>
        </is>
      </c>
      <c r="B19" s="37" t="inlineStr">
        <is>
          <t>Fintech</t>
        </is>
      </c>
      <c r="C19" s="46" t="inlineStr">
        <is>
          <t>BAJA</t>
        </is>
      </c>
      <c r="D19" s="42" t="inlineStr">
        <is>
          <t>[VERIFICAR]</t>
        </is>
      </c>
      <c r="E19" s="37" t="inlineStr">
        <is>
          <t>Revenue</t>
        </is>
      </c>
      <c r="F19" s="37" t="inlineStr">
        <is>
          <t>14.0%</t>
        </is>
      </c>
      <c r="G19" s="37" t="inlineStr">
        <is>
          <t>95%</t>
        </is>
      </c>
      <c r="H19" s="43">
        <f>IF(ISNUMBER($D19),$D19*$F19*$G19*(1-0.6),"")</f>
        <v/>
      </c>
      <c r="I19" s="44">
        <f>IF(ISNUMBER($D19),$D19*$F19*$G19,"")</f>
        <v/>
      </c>
      <c r="J19" s="43">
        <f>IF(ISNUMBER($D19),$D19*$F19*$G19*(1+0.6),"")</f>
        <v/>
      </c>
      <c r="K19" s="37" t="inlineStr">
        <is>
          <t>45%</t>
        </is>
      </c>
      <c r="L19" s="45">
        <f>IF(ISNUMBER($I19),$I19*$K19,"")</f>
        <v/>
      </c>
      <c r="M19" s="37" t="inlineStr">
        <is>
          <t>Idem. VP de Mercadotecnia Y Adquisición de Clientes: el comprador de CPA es explícito en el cargo.</t>
        </is>
      </c>
    </row>
    <row r="20" ht="15" customHeight="1" s="26">
      <c r="A20" s="37" t="inlineStr">
        <is>
          <t>Aplazo</t>
        </is>
      </c>
      <c r="B20" s="37" t="inlineStr">
        <is>
          <t>BNPL</t>
        </is>
      </c>
      <c r="C20" s="46" t="inlineStr">
        <is>
          <t>BAJA</t>
        </is>
      </c>
      <c r="D20" s="42" t="inlineStr">
        <is>
          <t>[VERIFICAR]</t>
        </is>
      </c>
      <c r="E20" s="37" t="inlineStr">
        <is>
          <t>Revenue</t>
        </is>
      </c>
      <c r="F20" s="37" t="inlineStr">
        <is>
          <t>12.0%</t>
        </is>
      </c>
      <c r="G20" s="37" t="inlineStr">
        <is>
          <t>95%</t>
        </is>
      </c>
      <c r="H20" s="43">
        <f>IF(ISNUMBER($D20),$D20*$F20*$G20*(1-0.6),"")</f>
        <v/>
      </c>
      <c r="I20" s="44">
        <f>IF(ISNUMBER($D20),$D20*$F20*$G20,"")</f>
        <v/>
      </c>
      <c r="J20" s="43">
        <f>IF(ISNUMBER($D20),$D20*$F20*$G20*(1+0.6),"")</f>
        <v/>
      </c>
      <c r="K20" s="37" t="inlineStr">
        <is>
          <t>45%</t>
        </is>
      </c>
      <c r="L20" s="45">
        <f>IF(ISNUMBER($I20),$I20*$K20,"")</f>
        <v/>
      </c>
      <c r="M20" s="37" t="inlineStr">
        <is>
          <t>Idem. Adjust + Soicos instalados.</t>
        </is>
      </c>
    </row>
    <row r="21" ht="15" customHeight="1" s="26">
      <c r="A21" s="37" t="inlineStr">
        <is>
          <t>Klar</t>
        </is>
      </c>
      <c r="B21" s="37" t="inlineStr">
        <is>
          <t>Fintech</t>
        </is>
      </c>
      <c r="C21" s="46" t="inlineStr">
        <is>
          <t>BAJA</t>
        </is>
      </c>
      <c r="D21" s="42" t="inlineStr">
        <is>
          <t>[VERIFICAR]</t>
        </is>
      </c>
      <c r="E21" s="37" t="inlineStr">
        <is>
          <t>Revenue</t>
        </is>
      </c>
      <c r="F21" s="37" t="inlineStr">
        <is>
          <t>13.0%</t>
        </is>
      </c>
      <c r="G21" s="37" t="inlineStr">
        <is>
          <t>95%</t>
        </is>
      </c>
      <c r="H21" s="43">
        <f>IF(ISNUMBER($D21),$D21*$F21*$G21*(1-0.6),"")</f>
        <v/>
      </c>
      <c r="I21" s="44">
        <f>IF(ISNUMBER($D21),$D21*$F21*$G21,"")</f>
        <v/>
      </c>
      <c r="J21" s="43">
        <f>IF(ISNUMBER($D21),$D21*$F21*$G21*(1+0.6),"")</f>
        <v/>
      </c>
      <c r="K21" s="37" t="inlineStr">
        <is>
          <t>45%</t>
        </is>
      </c>
      <c r="L21" s="45">
        <f>IF(ISNUMBER($I21),$I21*$K21,"")</f>
        <v/>
      </c>
      <c r="M21" s="37" t="inlineStr">
        <is>
          <t>Serie C extendida de USD 190M con mandato de profundizar México.</t>
        </is>
      </c>
    </row>
    <row r="22" ht="22.35" customHeight="1" s="26">
      <c r="A22" s="37" t="inlineStr">
        <is>
          <t>Grisi México</t>
        </is>
      </c>
      <c r="B22" s="37" t="inlineStr">
        <is>
          <t>CPG / cuidado personal</t>
        </is>
      </c>
      <c r="C22" s="46" t="inlineStr">
        <is>
          <t>BAJA</t>
        </is>
      </c>
      <c r="D22" s="42" t="inlineStr">
        <is>
          <t>[VERIFICAR]</t>
        </is>
      </c>
      <c r="E22" s="37" t="inlineStr">
        <is>
          <t>Venta digital</t>
        </is>
      </c>
      <c r="F22" s="37" t="inlineStr">
        <is>
          <t>4.0%</t>
        </is>
      </c>
      <c r="G22" s="37" t="inlineStr">
        <is>
          <t>65%</t>
        </is>
      </c>
      <c r="H22" s="43">
        <f>IF(ISNUMBER($D22),$D22*$F22*$G22*(1-0.6),"")</f>
        <v/>
      </c>
      <c r="I22" s="44">
        <f>IF(ISNUMBER($D22),$D22*$F22*$G22,"")</f>
        <v/>
      </c>
      <c r="J22" s="43">
        <f>IF(ISNUMBER($D22),$D22*$F22*$G22*(1+0.6),"")</f>
        <v/>
      </c>
      <c r="K22" s="37" t="inlineStr">
        <is>
          <t>30%</t>
        </is>
      </c>
      <c r="L22" s="45">
        <f>IF(ISNUMBER($I22),$I22*$K22,"")</f>
        <v/>
      </c>
      <c r="M22" s="37" t="inlineStr">
        <is>
          <t>D2C cerrado en dic-2025. La bolsa hoy es marketplace y retail media, no tienda propia.</t>
        </is>
      </c>
    </row>
    <row r="23" ht="22.35" customHeight="1" s="26">
      <c r="A23" s="37" t="inlineStr">
        <is>
          <t>Past Post</t>
        </is>
      </c>
      <c r="B23" s="37" t="inlineStr">
        <is>
          <t>Suscripción / insurtech</t>
        </is>
      </c>
      <c r="C23" s="46" t="inlineStr">
        <is>
          <t>BAJA</t>
        </is>
      </c>
      <c r="D23" s="42" t="inlineStr">
        <is>
          <t>[VERIFICAR]</t>
        </is>
      </c>
      <c r="E23" s="37" t="inlineStr">
        <is>
          <t>Revenue</t>
        </is>
      </c>
      <c r="F23" s="37" t="inlineStr">
        <is>
          <t>20.0%</t>
        </is>
      </c>
      <c r="G23" s="37" t="inlineStr">
        <is>
          <t>98%</t>
        </is>
      </c>
      <c r="H23" s="43">
        <f>IF(ISNUMBER($D23),$D23*$F23*$G23*(1-0.6),"")</f>
        <v/>
      </c>
      <c r="I23" s="44">
        <f>IF(ISNUMBER($D23),$D23*$F23*$G23,"")</f>
        <v/>
      </c>
      <c r="J23" s="43">
        <f>IF(ISNUMBER($D23),$D23*$F23*$G23*(1+0.6),"")</f>
        <v/>
      </c>
      <c r="K23" s="37" t="inlineStr">
        <is>
          <t>60%</t>
        </is>
      </c>
      <c r="L23" s="45">
        <f>IF(ISNUMBER($I23),$I23*$K23,"")</f>
        <v/>
      </c>
      <c r="M23" s="37" t="inlineStr">
        <is>
          <t>Suscripción digital pura: prácticamente todo el gasto de adquisición es direccionable a CPA.</t>
        </is>
      </c>
    </row>
    <row r="25" ht="15" customHeight="1" s="26">
      <c r="A25" s="34" t="inlineStr">
        <is>
          <t>CÓMO USAR ESTA HOJA</t>
        </is>
      </c>
    </row>
    <row r="26" ht="30" customHeight="1" s="26">
      <c r="A26" s="31" t="inlineStr">
        <is>
          <t>1. Sustituye [VERIFICAR] en la columna D con el revenue relevante en millones de pesos. Para retail omnicanal usa el GMV del canal ONLINE, no la venta total — si no, sobreestimas por un factor de cinco o más.</t>
        </is>
      </c>
    </row>
    <row r="27" ht="30" customHeight="1" s="26">
      <c r="A27" s="31" t="inlineStr">
        <is>
          <t>2. Las columnas H, I y J calculan solas. El rango se abre según la confianza del input: ±25% si el revenue es de BMV, ±40% si es de prensa, ±60% si es estimado.</t>
        </is>
      </c>
    </row>
    <row r="28" ht="30" customHeight="1" s="26">
      <c r="A28" s="31" t="inlineStr">
        <is>
          <t>3. La columna L es la que importa comercialmente: la bolsa que razonablemente puede migrar a pago por resultado. Es el techo teórico de la oportunidad, no un pronóstico de venta.</t>
        </is>
      </c>
    </row>
    <row r="29" ht="30" customHeight="1" s="26">
      <c r="A29" s="31" t="inlineStr">
        <is>
          <t>4. Fuentes para llenar la columna D: reportes trimestrales en BMV (Walmex, Liverpool, Elektra, Volaris, Alsea), reportes anuales para las privadas grandes, y prensa de industria para el resto.</t>
        </is>
      </c>
    </row>
    <row r="30" ht="30" customHeight="1" s="26">
      <c r="A30" s="31" t="inlineStr">
        <is>
          <t>5. Regla de oficio: presentar estos números a un cliente como si fueran su gasto real es la forma más rápida de perder credibilidad. Sirven para priorizar internamente y para calibrar la conversación, no para citarse en una junta.</t>
        </is>
      </c>
    </row>
  </sheetData>
  <mergeCells count="6">
    <mergeCell ref="A27:M27"/>
    <mergeCell ref="A26:M26"/>
    <mergeCell ref="A30:M30"/>
    <mergeCell ref="A29:M29"/>
    <mergeCell ref="A2:M2"/>
    <mergeCell ref="A28:M28"/>
  </mergeCells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25" min="1" max="1"/>
    <col width="20" customWidth="1" style="25" min="2" max="2"/>
    <col width="18" customWidth="1" style="25" min="3" max="3"/>
    <col width="20" customWidth="1" style="25" min="4" max="4"/>
    <col width="14" customWidth="1" style="25" min="5" max="5"/>
  </cols>
  <sheetData>
    <row r="1" ht="15" customHeight="1" s="26">
      <c r="A1" s="29" t="inlineStr">
        <is>
          <t>Ratios de publicidad sobre ventas — Schonfeld &amp; Associates, Advertising Ratios &amp; Budgets 2026 (fiscal 2025)</t>
        </is>
      </c>
    </row>
    <row r="2" ht="30" customHeight="1" s="26">
      <c r="A2" s="48" t="inlineStr">
        <is>
          <t>Cobertura: 2,400+ empresas públicas en 315 industrias. Es la referencia estándar de la industria para este cálculo. Nota: base EE.UU. — en México los ratios tienden a ser algo menores en retail tradicional y similares o mayores en fintech.</t>
        </is>
      </c>
    </row>
    <row r="3" ht="36" customHeight="1" s="26">
      <c r="A3" s="36" t="n"/>
      <c r="B3" s="36" t="n"/>
      <c r="C3" s="36" t="n"/>
      <c r="D3" s="36" t="n"/>
      <c r="E3" s="36" t="n"/>
    </row>
    <row r="4" ht="15" customHeight="1" s="26">
      <c r="A4" s="25" t="inlineStr">
        <is>
          <t>Sector (SIC)</t>
        </is>
      </c>
      <c r="B4" s="25" t="inlineStr">
        <is>
          <t>Ratio pub/ventas %</t>
        </is>
      </c>
      <c r="C4" s="25" t="inlineStr">
        <is>
          <t>Crecimiento ad %</t>
        </is>
      </c>
      <c r="D4" s="25" t="inlineStr">
        <is>
          <t>Crecimiento ventas %</t>
        </is>
      </c>
      <c r="E4" s="25" t="inlineStr">
        <is>
          <t>Tipo</t>
        </is>
      </c>
    </row>
    <row r="5" ht="15" customHeight="1" s="26">
      <c r="A5" s="37" t="inlineStr">
        <is>
          <t>Agricultura, silvicultura, pesca</t>
        </is>
      </c>
      <c r="B5" s="37" t="inlineStr">
        <is>
          <t>0.25</t>
        </is>
      </c>
      <c r="C5" s="37" t="inlineStr">
        <is>
          <t>3.59</t>
        </is>
      </c>
      <c r="D5" s="37" t="inlineStr">
        <is>
          <t>27.58</t>
        </is>
      </c>
      <c r="E5" s="37" t="inlineStr">
        <is>
          <t>DET</t>
        </is>
      </c>
    </row>
    <row r="6" ht="15" customHeight="1" s="26">
      <c r="A6" s="37" t="inlineStr">
        <is>
          <t>Minería y extracción</t>
        </is>
      </c>
      <c r="B6" s="37" t="inlineStr">
        <is>
          <t>0.08</t>
        </is>
      </c>
      <c r="C6" s="37" t="inlineStr">
        <is>
          <t>0.07</t>
        </is>
      </c>
      <c r="D6" s="37" t="inlineStr">
        <is>
          <t>4.38</t>
        </is>
      </c>
      <c r="E6" s="37" t="inlineStr">
        <is>
          <t>DET</t>
        </is>
      </c>
    </row>
    <row r="7" ht="15" customHeight="1" s="26">
      <c r="A7" s="37" t="inlineStr">
        <is>
          <t>Construcción</t>
        </is>
      </c>
      <c r="B7" s="37" t="inlineStr">
        <is>
          <t>0.50</t>
        </is>
      </c>
      <c r="C7" s="37" t="inlineStr">
        <is>
          <t>27.14</t>
        </is>
      </c>
      <c r="D7" s="37" t="inlineStr">
        <is>
          <t>-3.10</t>
        </is>
      </c>
      <c r="E7" s="37" t="inlineStr">
        <is>
          <t>DET</t>
        </is>
      </c>
    </row>
    <row r="8" ht="15" customHeight="1" s="26">
      <c r="A8" s="37" t="inlineStr">
        <is>
          <t>Manufactura</t>
        </is>
      </c>
      <c r="B8" s="37" t="inlineStr">
        <is>
          <t>3.14</t>
        </is>
      </c>
      <c r="C8" s="37" t="inlineStr">
        <is>
          <t>7.63</t>
        </is>
      </c>
      <c r="D8" s="37" t="inlineStr">
        <is>
          <t>6.75</t>
        </is>
      </c>
      <c r="E8" s="37" t="inlineStr">
        <is>
          <t>DET</t>
        </is>
      </c>
    </row>
    <row r="9" ht="15" customHeight="1" s="26">
      <c r="A9" s="37" t="inlineStr">
        <is>
          <t>Transporte, comunicaciones, utilities</t>
        </is>
      </c>
      <c r="B9" s="37" t="inlineStr">
        <is>
          <t>3.45</t>
        </is>
      </c>
      <c r="C9" s="37" t="inlineStr">
        <is>
          <t>6.93</t>
        </is>
      </c>
      <c r="D9" s="37" t="inlineStr">
        <is>
          <t>2.24</t>
        </is>
      </c>
      <c r="E9" s="37" t="inlineStr">
        <is>
          <t>DET</t>
        </is>
      </c>
    </row>
    <row r="10" ht="15" customHeight="1" s="26">
      <c r="A10" s="37" t="inlineStr">
        <is>
          <t>Comercio mayorista</t>
        </is>
      </c>
      <c r="B10" s="37" t="inlineStr">
        <is>
          <t>1.50</t>
        </is>
      </c>
      <c r="C10" s="37" t="inlineStr">
        <is>
          <t>5.27</t>
        </is>
      </c>
      <c r="D10" s="37" t="inlineStr">
        <is>
          <t>2.98</t>
        </is>
      </c>
      <c r="E10" s="37" t="inlineStr">
        <is>
          <t>DET</t>
        </is>
      </c>
    </row>
    <row r="11" ht="15" customHeight="1" s="26">
      <c r="A11" s="37" t="inlineStr">
        <is>
          <t>Catálogo y mail-order (eCommerce puro)</t>
        </is>
      </c>
      <c r="B11" s="37" t="inlineStr">
        <is>
          <t>[ver nota]</t>
        </is>
      </c>
      <c r="C11" s="37" t="inlineStr">
        <is>
          <t>—</t>
        </is>
      </c>
      <c r="D11" s="37" t="inlineStr">
        <is>
          <t>+11%</t>
        </is>
      </c>
      <c r="E11" s="37" t="inlineStr">
        <is>
          <t>DET parcial</t>
        </is>
      </c>
    </row>
    <row r="12" ht="22.35" customHeight="1" s="26">
      <c r="A12" s="37" t="inlineStr">
        <is>
          <t>Retail — apparel &amp; accesorios</t>
        </is>
      </c>
      <c r="B12" s="49" t="inlineStr">
        <is>
          <t>[VERIFICAR en el estudio]</t>
        </is>
      </c>
      <c r="C12" s="37" t="inlineStr">
        <is>
          <t>—</t>
        </is>
      </c>
      <c r="D12" s="37" t="inlineStr">
        <is>
          <t>—</t>
        </is>
      </c>
      <c r="E12" s="37" t="inlineStr">
        <is>
          <t>PENDIENTE</t>
        </is>
      </c>
    </row>
    <row r="13" ht="22.35" customHeight="1" s="26">
      <c r="A13" s="37" t="inlineStr">
        <is>
          <t>Restaurantes / QSR</t>
        </is>
      </c>
      <c r="B13" s="49" t="inlineStr">
        <is>
          <t>[VERIFICAR en el estudio]</t>
        </is>
      </c>
      <c r="C13" s="37" t="inlineStr">
        <is>
          <t>—</t>
        </is>
      </c>
      <c r="D13" s="37" t="inlineStr">
        <is>
          <t>—</t>
        </is>
      </c>
      <c r="E13" s="37" t="inlineStr">
        <is>
          <t>PENDIENTE</t>
        </is>
      </c>
    </row>
    <row r="15" ht="15" customHeight="1" s="26">
      <c r="A15" s="34" t="inlineStr">
        <is>
          <t>NOTA DE OFICIO</t>
        </is>
      </c>
    </row>
    <row r="16" ht="31.5" customHeight="1" s="26">
      <c r="A16" s="31" t="inlineStr">
        <is>
          <t>Catálogo y mail-order es el sector de mayor gasto publicitario del mundo: más de USD 52 mil millones, con Amazon sola en USD 47 mil millones. Es el techo del rango para eCommerce puro.</t>
        </is>
      </c>
    </row>
    <row r="17" ht="31.5" customHeight="1" s="26">
      <c r="A17" s="31" t="inlineStr">
        <is>
          <t>El estudio completo de Schonfeld es de pago y trae el ratio exacto por industria. Los ratios usados en la hoja del modelo para retail, fintech y suscripción son estimaciones de trabajo sobre la lógica del sector, no cifras extraídas del estudio — están marcadas como tales.</t>
        </is>
      </c>
    </row>
    <row r="18" ht="31.5" customHeight="1" s="26">
      <c r="A18" s="31" t="inlineStr">
        <is>
          <t>Si quieren precisión de nivel Kantar en esta capa, la inversión correcta es comprar el reporte de Schonfeld o contratar una suscripción a Admetricks o Nielsen Ad Intel para México, que sí miden inversión declarada por anunciante.</t>
        </is>
      </c>
    </row>
  </sheetData>
  <mergeCells count="4">
    <mergeCell ref="A2:E2"/>
    <mergeCell ref="A16:E16"/>
    <mergeCell ref="A17:E17"/>
    <mergeCell ref="A18:E18"/>
  </mergeCells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25" min="1" max="1"/>
    <col width="44" customWidth="1" style="25" min="2" max="2"/>
    <col width="26" customWidth="1" style="25" min="3" max="3"/>
    <col width="68" customWidth="1" style="25" min="4" max="4"/>
    <col width="36" customWidth="1" style="25" min="5" max="5"/>
  </cols>
  <sheetData>
    <row r="1" ht="16.15" customHeight="1" s="26">
      <c r="A1" s="35" t="inlineStr">
        <is>
          <t>Fuentes primarias</t>
        </is>
      </c>
    </row>
    <row r="3" ht="36" customHeight="1" s="26">
      <c r="A3" s="36" t="n"/>
      <c r="B3" s="36" t="n"/>
      <c r="C3" s="36" t="n"/>
      <c r="D3" s="36" t="n"/>
      <c r="E3" s="36" t="n"/>
    </row>
    <row r="4" ht="15" customHeight="1" s="26">
      <c r="A4" s="25" t="inlineStr">
        <is>
          <t>Estudio</t>
        </is>
      </c>
      <c r="B4" s="25" t="inlineStr">
        <is>
          <t>Institución</t>
        </is>
      </c>
      <c r="C4" s="25" t="inlineStr">
        <is>
          <t>Edición / fecha</t>
        </is>
      </c>
      <c r="D4" s="25" t="inlineStr">
        <is>
          <t>Qué aporta</t>
        </is>
      </c>
      <c r="E4" s="25" t="inlineStr">
        <is>
          <t>Acceso</t>
        </is>
      </c>
    </row>
    <row r="5" ht="22.35" customHeight="1" s="26">
      <c r="A5" s="37" t="inlineStr">
        <is>
          <t>Estudio Valor Total Media 2025</t>
        </is>
      </c>
      <c r="B5" s="37" t="inlineStr">
        <is>
          <t>AVE + Consejo de Investigación de Medios + IAB México, con Nielsen, Comscore y eMarketer</t>
        </is>
      </c>
      <c r="C5" s="37" t="inlineStr">
        <is>
          <t>6ª edición · presentado 4-nov-2025</t>
        </is>
      </c>
      <c r="D5" s="37" t="inlineStr">
        <is>
          <t>Inversión publicitaria total de México y share digital. Primera edición que integra componentes analógicos y digitales de cada medio.</t>
        </is>
      </c>
      <c r="E5" s="37" t="inlineStr">
        <is>
          <t>iabmexico.com/estudios/estudio-valor-total-media-2025</t>
        </is>
      </c>
    </row>
    <row r="6" ht="22.35" customHeight="1" s="26">
      <c r="A6" s="37" t="inlineStr">
        <is>
          <t>Estudio de Inversión en Comunicación en Internet</t>
        </is>
      </c>
      <c r="B6" s="37" t="inlineStr">
        <is>
          <t>IAB México con Grant Thornton y comScore (ediciones previas con PwC)</t>
        </is>
      </c>
      <c r="C6" s="37" t="inlineStr">
        <is>
          <t>15ª+ edición · anual</t>
        </is>
      </c>
      <c r="D6" s="37" t="inlineStr">
        <is>
          <t>Inversión digital desglosada por formato: display, search y clasificados.</t>
        </is>
      </c>
      <c r="E6" s="37" t="inlineStr">
        <is>
          <t>iabmexico.com</t>
        </is>
      </c>
    </row>
    <row r="7" ht="22.35" customHeight="1" s="26">
      <c r="A7" s="37" t="inlineStr">
        <is>
          <t>Estudio de Venta Online 2026</t>
        </is>
      </c>
      <c r="B7" s="37" t="inlineStr">
        <is>
          <t>AMVO</t>
        </is>
      </c>
      <c r="C7" s="37" t="inlineStr">
        <is>
          <t>Presentado mar-2026</t>
        </is>
      </c>
      <c r="D7" s="37" t="inlineStr">
        <is>
          <t>Valor del eCommerce retail, penetración, compradores digitales, +40 categorías, métricas de conversión por tipo de jugador.</t>
        </is>
      </c>
      <c r="E7" s="37" t="inlineStr">
        <is>
          <t>amvo.org.mx/descarga-evo-2026</t>
        </is>
      </c>
    </row>
    <row r="8" ht="22.35" customHeight="1" s="26">
      <c r="A8" s="37" t="inlineStr">
        <is>
          <t>Advertising Ratios &amp; Budgets 2026</t>
        </is>
      </c>
      <c r="B8" s="37" t="inlineStr">
        <is>
          <t>Schonfeld &amp; Associates</t>
        </is>
      </c>
      <c r="C8" s="37" t="inlineStr">
        <is>
          <t>Fiscal 2025 · publicado jun-2026</t>
        </is>
      </c>
      <c r="D8" s="37" t="inlineStr">
        <is>
          <t>Ratios de publicidad sobre ventas por industria. 2,400+ empresas públicas en 315 industrias.</t>
        </is>
      </c>
      <c r="E8" s="37" t="inlineStr">
        <is>
          <t>De pago — saibooks.com</t>
        </is>
      </c>
    </row>
    <row r="9" ht="22.35" customHeight="1" s="26">
      <c r="A9" s="37" t="inlineStr">
        <is>
          <t>ENDUTIH / Censos Económicos</t>
        </is>
      </c>
      <c r="B9" s="37" t="inlineStr">
        <is>
          <t>INEGI</t>
        </is>
      </c>
      <c r="C9" s="37" t="inlineStr">
        <is>
          <t>Anual</t>
        </is>
      </c>
      <c r="D9" s="49" t="inlineStr">
        <is>
          <t>Penetración de internet, uso de comercio electrónico por hogar y datos económicos sectoriales. [PENDIENTE — consultar para cruce demográfico]</t>
        </is>
      </c>
      <c r="E9" s="37" t="inlineStr">
        <is>
          <t>inegi.org.mx</t>
        </is>
      </c>
    </row>
    <row r="10" ht="22.35" customHeight="1" s="26">
      <c r="A10" s="37" t="inlineStr">
        <is>
          <t>Consejo de la Comunicación</t>
        </is>
      </c>
      <c r="B10" s="37" t="inlineStr">
        <is>
          <t>Consejo de la Comunicación</t>
        </is>
      </c>
      <c r="C10" s="37" t="inlineStr">
        <is>
          <t>—</t>
        </is>
      </c>
      <c r="D10" s="49" t="inlineStr">
        <is>
          <t>[PENDIENTE — verificar qué estudios de inversión publica; su foco es comunicación social, no medición de inversión]</t>
        </is>
      </c>
      <c r="E10" s="37" t="inlineStr">
        <is>
          <t>cc.org.mx</t>
        </is>
      </c>
    </row>
  </sheetData>
  <printOptions horizontalCentered="0" verticalCentered="0" headings="0" gridLines="0" gridLinesSet="1"/>
  <pageMargins left="0.35" right="0.35" top="0.4" bottom="0.4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2026-08-23T17:54:40Z</dcterms:created>
  <dcterms:modified xmlns:dcterms="http://purl.org/dc/terms/" xmlns:xsi="http://www.w3.org/2001/XMLSchema-instance" xsi:type="dcterms:W3CDTF">2026-08-24T13:40:38Z</dcterms:modified>
  <cp:revision>0</cp:revision>
</cp:coreProperties>
</file>