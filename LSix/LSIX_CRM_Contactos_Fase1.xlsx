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tactos_Fase1" sheetId="2" state="visible" r:id="rId2"/>
    <sheet xmlns:r="http://schemas.openxmlformats.org/officeDocument/2006/relationships" name="Listas" sheetId="3" state="visible" r:id="rId3"/>
    <sheet xmlns:r="http://schemas.openxmlformats.org/officeDocument/2006/relationships" name="Gaps" sheetId="4" state="visible" r:id="rId4"/>
  </sheets>
  <definedNames>
    <definedName name="_xlnm._FilterDatabase" localSheetId="1" hidden="1">'Contactos_Fase1'!$A$1:$U$33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color rgb="FF1B7F3B"/>
      <sz val="9"/>
    </font>
    <font>
      <name val="Arial"/>
      <charset val="1"/>
      <family val="0"/>
      <i val="1"/>
      <color rgb="FFB45309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sz val="12"/>
    </font>
  </fonts>
  <fills count="7">
    <fill>
      <patternFill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E8F5E9"/>
        <bgColor rgb="FFF5F5F5"/>
      </patternFill>
    </fill>
    <fill>
      <patternFill patternType="solid">
        <fgColor rgb="FFFFF2CC"/>
        <bgColor rgb="FFFFF8E1"/>
      </patternFill>
    </fill>
    <fill>
      <patternFill patternType="solid">
        <fgColor rgb="FFFFF8E1"/>
        <bgColor rgb="FFFFF2CC"/>
      </patternFill>
    </fill>
    <fill>
      <patternFill patternType="solid">
        <fgColor rgb="FFF5F5F5"/>
        <bgColor rgb="FFE8F5E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0A0A0A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B7F3B"/>
          <bgColor rgb="FF000000"/>
        </patternFill>
      </fill>
    </dxf>
    <dxf>
      <fill>
        <patternFill patternType="solid">
          <fgColor rgb="FFB4530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F3B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B45309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8" min="1" max="1"/>
    <col width="16" customWidth="1" style="18" min="2" max="6"/>
  </cols>
  <sheetData>
    <row r="1" ht="17.35" customHeight="1" s="19">
      <c r="A1" s="20" t="inlineStr">
        <is>
          <t>CRM LSIX México — Contactos de Fase 1</t>
        </is>
      </c>
    </row>
    <row r="2" ht="49.5" customHeight="1" s="19">
      <c r="A2" s="21" t="inlineStr">
        <is>
          <t>Nombres y cargos: solo de fuente pública verificable, con fecha. Emails y teléfonos NO se incluyen: no se infieren patrones (nombre.apellido@) porque un email adivinado es un dato inventado y quema el primer contacto. Se llenan desde Sales Navigator, Apollo, Lusha o Cognism, que operan con base legal y opt-out bajo LFPDPPP. Fecha del research: 22-ago-2026.</t>
        </is>
      </c>
    </row>
    <row r="4" ht="15" customHeight="1" s="19">
      <c r="A4" s="18" t="inlineStr">
        <is>
          <t>Registros de contacto</t>
        </is>
      </c>
      <c r="B4" s="18" t="n">
        <v>32</v>
      </c>
    </row>
    <row r="5" ht="15" customHeight="1" s="19">
      <c r="A5" s="18" t="inlineStr">
        <is>
          <t>Con nombre confirmado</t>
        </is>
      </c>
      <c r="B5" s="18">
        <f>COUNTIF(Contactos_Fase1!J2:J33,"Confirmado")</f>
        <v/>
      </c>
    </row>
    <row r="6" ht="15" customHeight="1" s="19">
      <c r="A6" s="18" t="inlineStr">
        <is>
          <t>Con nombre pero dato a verificar</t>
        </is>
      </c>
      <c r="B6" s="18">
        <f>COUNTIF(Contactos_Fase1!J2:J33,"Indicio*")</f>
        <v/>
      </c>
    </row>
    <row r="7" ht="15" customHeight="1" s="19">
      <c r="A7" s="18" t="inlineStr">
        <is>
          <t>Sin nombre (solo cargo objetivo)</t>
        </is>
      </c>
      <c r="B7" s="18">
        <f>COUNTIF(Contactos_Fase1!J2:J33,"Sin*")+COUNTIF(Contactos_Fase1!J2:J33,"Baja")+COUNTIF(Contactos_Fase1!J2:J33,"Tu dato")</f>
        <v/>
      </c>
    </row>
    <row r="9" ht="15" customHeight="1" s="19">
      <c r="A9" s="22" t="inlineStr">
        <is>
          <t>Fase</t>
        </is>
      </c>
      <c r="B9" s="22" t="inlineStr">
        <is>
          <t>Contactos</t>
        </is>
      </c>
      <c r="C9" s="22" t="inlineStr">
        <is>
          <t>Empresas</t>
        </is>
      </c>
      <c r="D9" s="22" t="n"/>
      <c r="E9" s="22" t="n"/>
      <c r="F9" s="22" t="n"/>
    </row>
    <row r="10" ht="15" customHeight="1" s="19">
      <c r="A10" s="23" t="inlineStr">
        <is>
          <t>Fase 1 — arranque (semanas 1-2)</t>
        </is>
      </c>
      <c r="B10" s="23">
        <f>COUNTIF(Contactos_Fase1!D2:D33,1)</f>
        <v/>
      </c>
      <c r="C10" s="23" t="n">
        <v>8</v>
      </c>
      <c r="D10" s="23" t="n"/>
      <c r="E10" s="23" t="n"/>
      <c r="F10" s="23" t="n"/>
    </row>
    <row r="11" ht="15" customHeight="1" s="19">
      <c r="A11" s="23" t="inlineStr">
        <is>
          <t>Fase 2 — ventana de cambio</t>
        </is>
      </c>
      <c r="B11" s="23">
        <f>COUNTIF(Contactos_Fase1!D2:D33,2)</f>
        <v/>
      </c>
      <c r="C11" s="23" t="n">
        <v>9</v>
      </c>
      <c r="D11" s="23" t="n"/>
      <c r="E11" s="23" t="n"/>
      <c r="F11" s="23" t="n"/>
    </row>
    <row r="12" ht="15" customHeight="1" s="19">
      <c r="A12" s="23" t="inlineStr">
        <is>
          <t>Fase 3 — holdings, no competir</t>
        </is>
      </c>
      <c r="B12" s="23">
        <f>COUNTIF(Contactos_Fase1!D2:D33,3)</f>
        <v/>
      </c>
      <c r="C12" s="23" t="n">
        <v>11</v>
      </c>
      <c r="D12" s="23" t="n"/>
      <c r="E12" s="23" t="n"/>
      <c r="F12" s="23" t="n"/>
    </row>
    <row r="14" ht="15" customHeight="1" s="19">
      <c r="A14" s="24" t="inlineStr">
        <is>
          <t>Cómo completar email y teléfono (en orden de rendimiento y de cumplimiento)</t>
        </is>
      </c>
    </row>
    <row r="15" ht="30" customHeight="1" s="19">
      <c r="A15" s="25" t="inlineStr">
        <is>
          <t>1. LinkedIn Sales Navigator: busca por nombre + empresa, guarda el perfil, manda InMail. Es el canal de mayor respuesta para C-level en México y no requiere email. Premium sí vale la pena para esto; el scraping automatizado viola sus ToS.</t>
        </is>
      </c>
    </row>
    <row r="16" ht="30" customHeight="1" s="19">
      <c r="A16" s="25" t="inlineStr">
        <is>
          <t>2. Apollo / Lusha / Cognism: dan email verificado con bounce rate publicado y mecanismo de opt-out. Costo típico USD 50-100/mes. Verifica siempre con NeverBounce o similar antes de enviar.</t>
        </is>
      </c>
    </row>
    <row r="17" ht="30" customHeight="1" s="19">
      <c r="A17" s="25" t="inlineStr">
        <is>
          <t>3. Referido interno: para SURA (vía CEO Global), Alsea (vía dentsu / Andy Berman) y Grisi (relación directa) NO uses email frío — quema la ventaja. Pide la intro.</t>
        </is>
      </c>
    </row>
    <row r="18" ht="30" customHeight="1" s="19">
      <c r="A18" s="25" t="inlineStr">
        <is>
          <t>4. Formulario corporativo o recepción: para Telcel, Alsea y Cinépolis suele ser más rápido pedir 'me comunica con la dirección de mercadotecnia digital' que buscar el email.</t>
        </is>
      </c>
    </row>
    <row r="19" ht="30" customHeight="1" s="19">
      <c r="A19" s="25" t="inlineStr">
        <is>
          <t>5. Eventos: eShow México, IAB Conecta, Retail Media Days México, AMVO. Varios de esta lista son ponentes recurrentes — el contacto en persona salta toda la cadena.</t>
        </is>
      </c>
    </row>
    <row r="20" ht="30" customHeight="1" s="19">
      <c r="A20" s="25" t="inlineStr">
        <is>
          <t>6. NUNCA infieras el patrón de email. Si rebota, quemas el dominio y el primer contacto. El costo de una herramienta de datos es menor al de un lead quemado.</t>
        </is>
      </c>
    </row>
  </sheetData>
  <mergeCells count="7">
    <mergeCell ref="A2:F2"/>
    <mergeCell ref="A16:F16"/>
    <mergeCell ref="A19:F19"/>
    <mergeCell ref="A17:F17"/>
    <mergeCell ref="A18:F18"/>
    <mergeCell ref="A20:F20"/>
    <mergeCell ref="A15:F15"/>
  </mergeCells>
  <printOptions horizontalCentered="0" verticalCentered="0" headings="0" gridLines="0" gridLinesSet="1"/>
  <pageMargins left="0.35" right="0.35" top="0.4" bottom="0.4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U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18" min="1" max="1"/>
    <col width="24" customWidth="1" style="18" min="2" max="2"/>
    <col width="20" customWidth="1" style="18" min="3" max="3"/>
    <col width="6" customWidth="1" style="18" min="4" max="4"/>
    <col width="24" customWidth="1" style="18" min="5" max="5"/>
    <col width="34" customWidth="1" style="18" min="6" max="6"/>
    <col width="12" customWidth="1" style="18" min="7" max="7"/>
    <col width="34" customWidth="1" style="18" min="8" max="8"/>
    <col width="17" customWidth="1" style="18" min="9" max="9"/>
    <col width="20" customWidth="1" style="18" min="10" max="10"/>
    <col width="26" customWidth="1" style="18" min="11" max="13"/>
    <col width="60" customWidth="1" style="18" min="14" max="14"/>
    <col width="38" customWidth="1" style="18" min="15" max="15"/>
    <col width="18" customWidth="1" style="18" min="16" max="17"/>
    <col width="14" customWidth="1" style="18" min="18" max="19"/>
    <col width="26" customWidth="1" style="18" min="20" max="21"/>
  </cols>
  <sheetData>
    <row r="1" ht="31.5" customHeight="1" s="19">
      <c r="A1" s="26" t="inlineStr">
        <is>
          <t>#</t>
        </is>
      </c>
      <c r="B1" s="26" t="inlineStr">
        <is>
          <t>Empresa</t>
        </is>
      </c>
      <c r="C1" s="26" t="inlineStr">
        <is>
          <t>Vertical</t>
        </is>
      </c>
      <c r="D1" s="26" t="inlineStr">
        <is>
          <t>Fase</t>
        </is>
      </c>
      <c r="E1" s="26" t="inlineStr">
        <is>
          <t>Contacto</t>
        </is>
      </c>
      <c r="F1" s="26" t="inlineStr">
        <is>
          <t>Cargo</t>
        </is>
      </c>
      <c r="G1" s="26" t="inlineStr">
        <is>
          <t>Nivel</t>
        </is>
      </c>
      <c r="H1" s="26" t="inlineStr">
        <is>
          <t>Fuente</t>
        </is>
      </c>
      <c r="I1" s="26" t="inlineStr">
        <is>
          <t>Fecha del dato</t>
        </is>
      </c>
      <c r="J1" s="26" t="inlineStr">
        <is>
          <t>Confianza</t>
        </is>
      </c>
      <c r="K1" s="26" t="inlineStr">
        <is>
          <t>Email</t>
        </is>
      </c>
      <c r="L1" s="26" t="inlineStr">
        <is>
          <t>Teléfono</t>
        </is>
      </c>
      <c r="M1" s="26" t="inlineStr">
        <is>
          <t>LinkedIn (URL)</t>
        </is>
      </c>
      <c r="N1" s="26" t="inlineStr">
        <is>
          <t>Ángulo de entrada</t>
        </is>
      </c>
      <c r="O1" s="26" t="inlineStr">
        <is>
          <t>Señal de pixel (fit CPA)</t>
        </is>
      </c>
      <c r="P1" s="26" t="inlineStr">
        <is>
          <t>Relación Andrés</t>
        </is>
      </c>
      <c r="Q1" s="26" t="inlineStr">
        <is>
          <t>Canal 1er contacto</t>
        </is>
      </c>
      <c r="R1" s="26" t="inlineStr">
        <is>
          <t>Estado</t>
        </is>
      </c>
      <c r="S1" s="26" t="inlineStr">
        <is>
          <t>Fecha contacto</t>
        </is>
      </c>
      <c r="T1" s="26" t="inlineStr">
        <is>
          <t>Próximo paso</t>
        </is>
      </c>
      <c r="U1" s="26" t="inlineStr">
        <is>
          <t>Notas</t>
        </is>
      </c>
    </row>
    <row r="2" ht="32.8" customHeight="1" s="19">
      <c r="A2" s="27" t="n">
        <v>1</v>
      </c>
      <c r="B2" s="27" t="inlineStr">
        <is>
          <t>Kueski</t>
        </is>
      </c>
      <c r="C2" s="27" t="inlineStr">
        <is>
          <t>Fintech / BNPL</t>
        </is>
      </c>
      <c r="D2" s="27" t="n">
        <v>1</v>
      </c>
      <c r="E2" s="28" t="inlineStr">
        <is>
          <t>Andreas Waldmann</t>
        </is>
      </c>
      <c r="F2" s="28" t="inlineStr">
        <is>
          <t>Chief Marketing Officer</t>
        </is>
      </c>
      <c r="G2" s="28" t="inlineStr">
        <is>
          <t>Decisor</t>
        </is>
      </c>
      <c r="H2" s="28" t="inlineStr">
        <is>
          <t>Comunicado Kueski + InformaBTL + Marketing4eCommerce</t>
        </is>
      </c>
      <c r="I2" s="28" t="inlineStr">
        <is>
          <t>10-dic-2024</t>
        </is>
      </c>
      <c r="J2" s="29" t="inlineStr">
        <is>
          <t>Confirmado</t>
        </is>
      </c>
      <c r="K2" s="30" t="inlineStr">
        <is>
          <t>[PENDIENTE — Sales Navigator / Apollo]</t>
        </is>
      </c>
      <c r="L2" s="30" t="inlineStr">
        <is>
          <t>[PENDIENTE — Sales Navigator / Apollo]</t>
        </is>
      </c>
      <c r="M2" s="30" t="inlineStr">
        <is>
          <t>[PENDIENTE — Sales Navigator / Apollo]</t>
        </is>
      </c>
      <c r="N2" s="28" t="inlineStr">
        <is>
          <t>Primer CMO de la historia de Kueski (dic-2024) y viene de Volaris, Citibanamex y Clara: perfil que ya compró performance a resultado. Ventana clásica de nuevo liderazgo abriendo proveedores.</t>
        </is>
      </c>
      <c r="O2" s="28" t="inlineStr">
        <is>
          <t>MMP: Singular</t>
        </is>
      </c>
      <c r="P2" s="30" t="inlineStr">
        <is>
          <t>Por confirmar</t>
        </is>
      </c>
      <c r="Q2" s="30" t="n"/>
      <c r="R2" s="30" t="inlineStr">
        <is>
          <t>No iniciado</t>
        </is>
      </c>
      <c r="S2" s="30" t="n"/>
      <c r="T2" s="30" t="n"/>
      <c r="U2" s="30" t="n"/>
    </row>
    <row r="3" ht="22.35" customHeight="1" s="19">
      <c r="A3" s="27" t="n">
        <v>2</v>
      </c>
      <c r="B3" s="27" t="inlineStr">
        <is>
          <t>Kueski</t>
        </is>
      </c>
      <c r="C3" s="27" t="inlineStr">
        <is>
          <t>Fintech / BNPL</t>
        </is>
      </c>
      <c r="D3" s="27" t="n">
        <v>1</v>
      </c>
      <c r="E3" s="28" t="inlineStr">
        <is>
          <t>Samantha García</t>
        </is>
      </c>
      <c r="F3" s="28" t="inlineStr">
        <is>
          <t>VP Brand Marketing</t>
        </is>
      </c>
      <c r="G3" s="28" t="inlineStr">
        <is>
          <t>Influencer</t>
        </is>
      </c>
      <c r="H3" s="28" t="inlineStr">
        <is>
          <t>Comunicado Kueski (kueski.another.co)</t>
        </is>
      </c>
      <c r="I3" s="28" t="inlineStr">
        <is>
          <t>2025</t>
        </is>
      </c>
      <c r="J3" s="29" t="inlineStr">
        <is>
          <t>Confirmado</t>
        </is>
      </c>
      <c r="K3" s="30" t="inlineStr">
        <is>
          <t>[PENDIENTE — Sales Navigator / Apollo]</t>
        </is>
      </c>
      <c r="L3" s="30" t="inlineStr">
        <is>
          <t>[PENDIENTE — Sales Navigator / Apollo]</t>
        </is>
      </c>
      <c r="M3" s="30" t="inlineStr">
        <is>
          <t>[PENDIENTE — Sales Navigator / Apollo]</t>
        </is>
      </c>
      <c r="N3" s="28" t="inlineStr">
        <is>
          <t>Reporta a Waldmann. Ruta alterna si el CMO no responde; brand no compra CPA pero abre la puerta al equipo de growth.</t>
        </is>
      </c>
      <c r="O3" s="28" t="inlineStr">
        <is>
          <t>MMP: Singular</t>
        </is>
      </c>
      <c r="P3" s="30" t="inlineStr">
        <is>
          <t>Por confirmar</t>
        </is>
      </c>
      <c r="Q3" s="30" t="n"/>
      <c r="R3" s="30" t="inlineStr">
        <is>
          <t>No iniciado</t>
        </is>
      </c>
      <c r="S3" s="30" t="n"/>
      <c r="T3" s="30" t="n"/>
      <c r="U3" s="30" t="n"/>
    </row>
    <row r="4" ht="22.35" customHeight="1" s="19">
      <c r="A4" s="27" t="n">
        <v>3</v>
      </c>
      <c r="B4" s="27" t="inlineStr">
        <is>
          <t>Aplazo</t>
        </is>
      </c>
      <c r="C4" s="27" t="inlineStr">
        <is>
          <t>Fintech / BNPL</t>
        </is>
      </c>
      <c r="D4" s="27" t="n">
        <v>1</v>
      </c>
      <c r="E4" s="28" t="inlineStr">
        <is>
          <t>Ricardo Muñoz</t>
        </is>
      </c>
      <c r="F4" s="28" t="inlineStr">
        <is>
          <t>VP de Marketing</t>
        </is>
      </c>
      <c r="G4" s="28" t="inlineStr">
        <is>
          <t>Decisor</t>
        </is>
      </c>
      <c r="H4" s="28" t="inlineStr">
        <is>
          <t>InformaBTL Titanes 2025 · Insider Latam (abr-2026) · Merca2.0 The List</t>
        </is>
      </c>
      <c r="I4" s="28" t="inlineStr">
        <is>
          <t>abr-2026</t>
        </is>
      </c>
      <c r="J4" s="29" t="inlineStr">
        <is>
          <t>Confirmado</t>
        </is>
      </c>
      <c r="K4" s="30" t="inlineStr">
        <is>
          <t>[PENDIENTE — Sales Navigator / Apollo]</t>
        </is>
      </c>
      <c r="L4" s="30" t="inlineStr">
        <is>
          <t>[PENDIENTE — Sales Navigator / Apollo]</t>
        </is>
      </c>
      <c r="M4" s="30" t="inlineStr">
        <is>
          <t>[PENDIENTE — Sales Navigator / Apollo]</t>
        </is>
      </c>
      <c r="N4" s="28" t="inlineStr">
        <is>
          <t>BNPL puro, sin agencia de medios pública. Perfil visible en prensa (podcasts, premios) = accesible. Adjust instalado + stack completo de paid social.</t>
        </is>
      </c>
      <c r="O4" s="28" t="inlineStr">
        <is>
          <t>MMP: Adjust · Dyn. remarketing</t>
        </is>
      </c>
      <c r="P4" s="30" t="inlineStr">
        <is>
          <t>Por confirmar</t>
        </is>
      </c>
      <c r="Q4" s="30" t="n"/>
      <c r="R4" s="30" t="inlineStr">
        <is>
          <t>No iniciado</t>
        </is>
      </c>
      <c r="S4" s="30" t="n"/>
      <c r="T4" s="30" t="n"/>
      <c r="U4" s="30" t="n"/>
    </row>
    <row r="5" ht="22.35" customHeight="1" s="19">
      <c r="A5" s="27" t="n">
        <v>4</v>
      </c>
      <c r="B5" s="27" t="inlineStr">
        <is>
          <t>Stori</t>
        </is>
      </c>
      <c r="C5" s="27" t="inlineStr">
        <is>
          <t>Fintech / BNPL</t>
        </is>
      </c>
      <c r="D5" s="27" t="n">
        <v>1</v>
      </c>
      <c r="E5" s="28" t="inlineStr">
        <is>
          <t>Alejandro (Alex) Berman</t>
        </is>
      </c>
      <c r="F5" s="28" t="inlineStr">
        <is>
          <t>VP de Mercadotecnia y Adquisición de Clientes</t>
        </is>
      </c>
      <c r="G5" s="28" t="inlineStr">
        <is>
          <t>Decisor</t>
        </is>
      </c>
      <c r="H5" s="28" t="inlineStr">
        <is>
          <t>Forbes México · Los mejores CMO 2026</t>
        </is>
      </c>
      <c r="I5" s="28" t="inlineStr">
        <is>
          <t>3-mar-2026</t>
        </is>
      </c>
      <c r="J5" s="29" t="inlineStr">
        <is>
          <t>Confirmado</t>
        </is>
      </c>
      <c r="K5" s="30" t="inlineStr">
        <is>
          <t>[PENDIENTE — Sales Navigator / Apollo]</t>
        </is>
      </c>
      <c r="L5" s="30" t="inlineStr">
        <is>
          <t>[PENDIENTE — Sales Navigator / Apollo]</t>
        </is>
      </c>
      <c r="M5" s="30" t="inlineStr">
        <is>
          <t>[PENDIENTE — Sales Navigator / Apollo]</t>
        </is>
      </c>
      <c r="N5" s="28" t="inlineStr">
        <is>
          <t>El cargo dice 'Adquisición de Clientes' — es literalmente el comprador de CPA. Presión pública de rentabilidad e IPO 2026. Ex Heineken, La Haus, Covalto.</t>
        </is>
      </c>
      <c r="O5" s="28" t="inlineStr">
        <is>
          <t>[no scaneado]</t>
        </is>
      </c>
      <c r="P5" s="30" t="inlineStr">
        <is>
          <t>Por confirmar</t>
        </is>
      </c>
      <c r="Q5" s="30" t="n"/>
      <c r="R5" s="30" t="inlineStr">
        <is>
          <t>No iniciado</t>
        </is>
      </c>
      <c r="S5" s="30" t="n"/>
      <c r="T5" s="30" t="n"/>
      <c r="U5" s="30" t="n"/>
    </row>
    <row r="6" ht="32.8" customHeight="1" s="19">
      <c r="A6" s="27" t="n">
        <v>5</v>
      </c>
      <c r="B6" s="27" t="inlineStr">
        <is>
          <t>Klar</t>
        </is>
      </c>
      <c r="C6" s="27" t="inlineStr">
        <is>
          <t>Fintech / BNPL</t>
        </is>
      </c>
      <c r="D6" s="27" t="n">
        <v>1</v>
      </c>
      <c r="E6" s="28" t="inlineStr">
        <is>
          <t>Stefan Möller</t>
        </is>
      </c>
      <c r="F6" s="28" t="inlineStr">
        <is>
          <t>CEO y cofundador</t>
        </is>
      </c>
      <c r="G6" s="28" t="inlineStr">
        <is>
          <t>Decisor</t>
        </is>
      </c>
      <c r="H6" s="28" t="inlineStr">
        <is>
          <t>Mexico Business News · LinkedIn corporativo Klar</t>
        </is>
      </c>
      <c r="I6" s="28" t="inlineStr">
        <is>
          <t>2026</t>
        </is>
      </c>
      <c r="J6" s="29" t="inlineStr">
        <is>
          <t>Confirmado</t>
        </is>
      </c>
      <c r="K6" s="30" t="inlineStr">
        <is>
          <t>[PENDIENTE — Sales Navigator / Apollo]</t>
        </is>
      </c>
      <c r="L6" s="30" t="inlineStr">
        <is>
          <t>[PENDIENTE — Sales Navigator / Apollo]</t>
        </is>
      </c>
      <c r="M6" s="30" t="inlineStr">
        <is>
          <t>[PENDIENTE — Sales Navigator / Apollo]</t>
        </is>
      </c>
      <c r="N6" s="28" t="inlineStr">
        <is>
          <t>No hay CMO público. Serie C extendida US$190M (jun-2025) con mandato de profundizar México = presupuesto fresco de adquisición. Entrada por CEO, luego pedir el Head of Growth.</t>
        </is>
      </c>
      <c r="O6" s="28" t="inlineStr">
        <is>
          <t>[no scaneado]</t>
        </is>
      </c>
      <c r="P6" s="30" t="inlineStr">
        <is>
          <t>Por confirmar</t>
        </is>
      </c>
      <c r="Q6" s="30" t="n"/>
      <c r="R6" s="30" t="inlineStr">
        <is>
          <t>No iniciado</t>
        </is>
      </c>
      <c r="S6" s="30" t="n"/>
      <c r="T6" s="30" t="n"/>
      <c r="U6" s="30" t="n"/>
    </row>
    <row r="7" ht="32.8" customHeight="1" s="19">
      <c r="A7" s="27" t="n">
        <v>6</v>
      </c>
      <c r="B7" s="27" t="inlineStr">
        <is>
          <t>Mercado Pago</t>
        </is>
      </c>
      <c r="C7" s="27" t="inlineStr">
        <is>
          <t>Fintech / Pagos</t>
        </is>
      </c>
      <c r="D7" s="27" t="n">
        <v>1</v>
      </c>
      <c r="E7" s="28" t="inlineStr">
        <is>
          <t>Sean Summers</t>
        </is>
      </c>
      <c r="F7" s="28" t="inlineStr">
        <is>
          <t>VP Ejecutivo y CMO (Mercado Libre)</t>
        </is>
      </c>
      <c r="G7" s="28" t="inlineStr">
        <is>
          <t>Decisor regional</t>
        </is>
      </c>
      <c r="H7" s="28" t="inlineStr">
        <is>
          <t>Forbes México · Los mejores CMO 2026</t>
        </is>
      </c>
      <c r="I7" s="28" t="inlineStr">
        <is>
          <t>3-mar-2026</t>
        </is>
      </c>
      <c r="J7" s="29" t="inlineStr">
        <is>
          <t>Confirmado</t>
        </is>
      </c>
      <c r="K7" s="30" t="inlineStr">
        <is>
          <t>[PENDIENTE — Sales Navigator / Apollo]</t>
        </is>
      </c>
      <c r="L7" s="30" t="inlineStr">
        <is>
          <t>[PENDIENTE — Sales Navigator / Apollo]</t>
        </is>
      </c>
      <c r="M7" s="30" t="inlineStr">
        <is>
          <t>[PENDIENTE — Sales Navigator / Apollo]</t>
        </is>
      </c>
      <c r="N7" s="28" t="inlineStr">
        <is>
          <t>Decisión regional, ciclo largo. Solicitud de licencia bancaria = adquisición masiva de usuarios. Pedir el Head of Growth de Mercado Pago MX como paso 2.</t>
        </is>
      </c>
      <c r="O7" s="28" t="inlineStr">
        <is>
          <t>Solo analytics/tag en home</t>
        </is>
      </c>
      <c r="P7" s="30" t="inlineStr">
        <is>
          <t>Por confirmar</t>
        </is>
      </c>
      <c r="Q7" s="30" t="n"/>
      <c r="R7" s="30" t="inlineStr">
        <is>
          <t>No iniciado</t>
        </is>
      </c>
      <c r="S7" s="30" t="n"/>
      <c r="T7" s="30" t="n"/>
      <c r="U7" s="30" t="n"/>
    </row>
    <row r="8" ht="22.35" customHeight="1" s="19">
      <c r="A8" s="27" t="n">
        <v>7</v>
      </c>
      <c r="B8" s="27" t="inlineStr">
        <is>
          <t>Spin by OXXO</t>
        </is>
      </c>
      <c r="C8" s="27" t="inlineStr">
        <is>
          <t>Fintech / Wallet</t>
        </is>
      </c>
      <c r="D8" s="27" t="n">
        <v>1</v>
      </c>
      <c r="E8" s="28" t="inlineStr">
        <is>
          <t>Jorge Esquer</t>
        </is>
      </c>
      <c r="F8" s="28" t="inlineStr">
        <is>
          <t>Head de Marketing OXXO México</t>
        </is>
      </c>
      <c r="G8" s="28" t="inlineStr">
        <is>
          <t>Decisor</t>
        </is>
      </c>
      <c r="H8" s="28" t="inlineStr">
        <is>
          <t>Forbes México · Los mejores CMO 2026</t>
        </is>
      </c>
      <c r="I8" s="28" t="inlineStr">
        <is>
          <t>3-mar-2026</t>
        </is>
      </c>
      <c r="J8" s="29" t="inlineStr">
        <is>
          <t>Confirmado</t>
        </is>
      </c>
      <c r="K8" s="30" t="inlineStr">
        <is>
          <t>[PENDIENTE — Sales Navigator / Apollo]</t>
        </is>
      </c>
      <c r="L8" s="30" t="inlineStr">
        <is>
          <t>[PENDIENTE — Sales Navigator / Apollo]</t>
        </is>
      </c>
      <c r="M8" s="30" t="inlineStr">
        <is>
          <t>[PENDIENTE — Sales Navigator / Apollo]</t>
        </is>
      </c>
      <c r="N8" s="28" t="inlineStr">
        <is>
          <t>Cuidado: OXXO opera con iProspect/dentsu (dic-2025). El ángulo es Spin como línea separada de app-CPA, no competir con la cuenta de medios de OXXO.</t>
        </is>
      </c>
      <c r="O8" s="28" t="inlineStr">
        <is>
          <t>[sin lectura — bloqueó scan]</t>
        </is>
      </c>
      <c r="P8" s="30" t="inlineStr">
        <is>
          <t>Por confirmar</t>
        </is>
      </c>
      <c r="Q8" s="30" t="n"/>
      <c r="R8" s="30" t="inlineStr">
        <is>
          <t>No iniciado</t>
        </is>
      </c>
      <c r="S8" s="30" t="n"/>
      <c r="T8" s="30" t="n"/>
      <c r="U8" s="30" t="n"/>
    </row>
    <row r="9" ht="32.8" customHeight="1" s="19">
      <c r="A9" s="27" t="n">
        <v>8</v>
      </c>
      <c r="B9" s="27" t="inlineStr">
        <is>
          <t>SURA Afore</t>
        </is>
      </c>
      <c r="C9" s="27" t="inlineStr">
        <is>
          <t>Afore / Pensiones</t>
        </is>
      </c>
      <c r="D9" s="27" t="n">
        <v>1</v>
      </c>
      <c r="E9" s="28" t="inlineStr">
        <is>
          <t>Emilio Bertrán Rodríguez</t>
        </is>
      </c>
      <c r="F9" s="28" t="inlineStr">
        <is>
          <t>Director General (CEO) Afore SURA</t>
        </is>
      </c>
      <c r="G9" s="28" t="inlineStr">
        <is>
          <t>Decisor</t>
        </is>
      </c>
      <c r="H9" s="28" t="inlineStr">
        <is>
          <t>SURA Asset Management (comunicado) · La Silla Rota entrevista</t>
        </is>
      </c>
      <c r="I9" s="28" t="inlineStr">
        <is>
          <t>12-feb-2026</t>
        </is>
      </c>
      <c r="J9" s="29" t="inlineStr">
        <is>
          <t>Confirmado</t>
        </is>
      </c>
      <c r="K9" s="30" t="inlineStr">
        <is>
          <t>[PENDIENTE — Sales Navigator / Apollo]</t>
        </is>
      </c>
      <c r="L9" s="30" t="inlineStr">
        <is>
          <t>[PENDIENTE — Sales Navigator / Apollo]</t>
        </is>
      </c>
      <c r="M9" s="30" t="inlineStr">
        <is>
          <t>[PENDIENTE — Sales Navigator / Apollo]</t>
        </is>
      </c>
      <c r="N9" s="28" t="inlineStr">
        <is>
          <t>TU MEJOR ENTRADA: acceso CEO Global de Grupo SURA. Bertrán reporta a Enrique Solórzano (CEO SURA AM México). Evento de conversión limpio: traspasos y aportaciones voluntarias.</t>
        </is>
      </c>
      <c r="O9" s="28" t="inlineStr">
        <is>
          <t>[no scaneado]</t>
        </is>
      </c>
      <c r="P9" s="30" t="inlineStr">
        <is>
          <t>Por confirmar</t>
        </is>
      </c>
      <c r="Q9" s="30" t="n"/>
      <c r="R9" s="30" t="inlineStr">
        <is>
          <t>No iniciado</t>
        </is>
      </c>
      <c r="S9" s="30" t="n"/>
      <c r="T9" s="30" t="n"/>
      <c r="U9" s="30" t="n"/>
    </row>
    <row r="10" ht="22.35" customHeight="1" s="19">
      <c r="A10" s="27" t="n">
        <v>9</v>
      </c>
      <c r="B10" s="27" t="inlineStr">
        <is>
          <t>SURA Afore</t>
        </is>
      </c>
      <c r="C10" s="27" t="inlineStr">
        <is>
          <t>Afore / Pensiones</t>
        </is>
      </c>
      <c r="D10" s="27" t="n">
        <v>1</v>
      </c>
      <c r="E10" s="28" t="inlineStr">
        <is>
          <t>Enrique Solórzano</t>
        </is>
      </c>
      <c r="F10" s="28" t="inlineStr">
        <is>
          <t>CEO SURA Asset Management México</t>
        </is>
      </c>
      <c r="G10" s="28" t="inlineStr">
        <is>
          <t>Sponsor</t>
        </is>
      </c>
      <c r="H10" s="28" t="inlineStr">
        <is>
          <t>SURA Asset Management (comunicado)</t>
        </is>
      </c>
      <c r="I10" s="28" t="inlineStr">
        <is>
          <t>2026</t>
        </is>
      </c>
      <c r="J10" s="29" t="inlineStr">
        <is>
          <t>Confirmado</t>
        </is>
      </c>
      <c r="K10" s="30" t="inlineStr">
        <is>
          <t>[PENDIENTE — Sales Navigator / Apollo]</t>
        </is>
      </c>
      <c r="L10" s="30" t="inlineStr">
        <is>
          <t>[PENDIENTE — Sales Navigator / Apollo]</t>
        </is>
      </c>
      <c r="M10" s="30" t="inlineStr">
        <is>
          <t>[PENDIENTE — Sales Navigator / Apollo]</t>
        </is>
      </c>
      <c r="N10" s="28" t="inlineStr">
        <is>
          <t>Nivel al que llega tu referencia del CEO Global. Úsalo para abrir, no para operar el deal.</t>
        </is>
      </c>
      <c r="O10" s="28" t="inlineStr">
        <is>
          <t>[no scaneado]</t>
        </is>
      </c>
      <c r="P10" s="30" t="inlineStr">
        <is>
          <t>Por confirmar</t>
        </is>
      </c>
      <c r="Q10" s="30" t="n"/>
      <c r="R10" s="30" t="inlineStr">
        <is>
          <t>No iniciado</t>
        </is>
      </c>
      <c r="S10" s="30" t="n"/>
      <c r="T10" s="30" t="n"/>
      <c r="U10" s="30" t="n"/>
    </row>
    <row r="11" ht="22.35" customHeight="1" s="19">
      <c r="A11" s="27" t="n">
        <v>10</v>
      </c>
      <c r="B11" s="27" t="inlineStr">
        <is>
          <t>Grisi</t>
        </is>
      </c>
      <c r="C11" s="27" t="inlineStr">
        <is>
          <t>Beauty / CPG</t>
        </is>
      </c>
      <c r="D11" s="27" t="n">
        <v>1</v>
      </c>
      <c r="E11" s="30" t="inlineStr">
        <is>
          <t>[PENDIENTE]</t>
        </is>
      </c>
      <c r="F11" s="28" t="inlineStr">
        <is>
          <t>CEO</t>
        </is>
      </c>
      <c r="G11" s="28" t="inlineStr">
        <is>
          <t>Decisor</t>
        </is>
      </c>
      <c r="H11" s="28" t="inlineStr">
        <is>
          <t>Relación personal de Andrés</t>
        </is>
      </c>
      <c r="I11" s="28" t="inlineStr">
        <is>
          <t>—</t>
        </is>
      </c>
      <c r="J11" s="28" t="inlineStr">
        <is>
          <t>Tu dato</t>
        </is>
      </c>
      <c r="K11" s="30" t="inlineStr">
        <is>
          <t>[PENDIENTE — Sales Navigator / Apollo]</t>
        </is>
      </c>
      <c r="L11" s="30" t="inlineStr">
        <is>
          <t>[PENDIENTE — Sales Navigator / Apollo]</t>
        </is>
      </c>
      <c r="M11" s="30" t="inlineStr">
        <is>
          <t>[PENDIENTE — Sales Navigator / Apollo]</t>
        </is>
      </c>
      <c r="N11" s="28" t="inlineStr">
        <is>
          <t>Conversación exploratoria, NO pitch. Fit CPA sin confirmar (¿app transaccional?). Riesgo de contaminar la relación existente.</t>
        </is>
      </c>
      <c r="O11" s="28" t="inlineStr">
        <is>
          <t>Solo analytics/tag en home</t>
        </is>
      </c>
      <c r="P11" s="30" t="inlineStr">
        <is>
          <t>Por confirmar</t>
        </is>
      </c>
      <c r="Q11" s="30" t="n"/>
      <c r="R11" s="30" t="inlineStr">
        <is>
          <t>No iniciado</t>
        </is>
      </c>
      <c r="S11" s="30" t="n"/>
      <c r="T11" s="30" t="n"/>
      <c r="U11" s="30" t="n"/>
    </row>
    <row r="12" ht="32.8" customHeight="1" s="19">
      <c r="A12" s="31" t="n">
        <v>11</v>
      </c>
      <c r="B12" s="31" t="inlineStr">
        <is>
          <t>Farmacias del Ahorro</t>
        </is>
      </c>
      <c r="C12" s="31" t="inlineStr">
        <is>
          <t>Farmacia</t>
        </is>
      </c>
      <c r="D12" s="31" t="n">
        <v>2</v>
      </c>
      <c r="E12" s="28" t="inlineStr">
        <is>
          <t>Omar Galicia</t>
        </is>
      </c>
      <c r="F12" s="28" t="inlineStr">
        <is>
          <t>Chief Digital Officer</t>
        </is>
      </c>
      <c r="G12" s="28" t="inlineStr">
        <is>
          <t>Decisor</t>
        </is>
      </c>
      <c r="H12" s="28" t="inlineStr">
        <is>
          <t>ANTAD / Retail Next Media — resultados Hot Sale 2026 AhorroMarket</t>
        </is>
      </c>
      <c r="I12" s="28" t="inlineStr">
        <is>
          <t>jul-2026</t>
        </is>
      </c>
      <c r="J12" s="29" t="inlineStr">
        <is>
          <t>Confirmado</t>
        </is>
      </c>
      <c r="K12" s="30" t="inlineStr">
        <is>
          <t>[PENDIENTE — Sales Navigator / Apollo]</t>
        </is>
      </c>
      <c r="L12" s="30" t="inlineStr">
        <is>
          <t>[PENDIENTE — Sales Navigator / Apollo]</t>
        </is>
      </c>
      <c r="M12" s="30" t="inlineStr">
        <is>
          <t>[PENDIENTE — Sales Navigator / Apollo]</t>
        </is>
      </c>
      <c r="N12" s="28" t="inlineStr">
        <is>
          <t>MEJOR ENTRADA que marketing: es el dueño del marketplace AhorroMarket (+149% ventas Hot Sale 2026). Conversión = venta en marketplace, medible y suya.</t>
        </is>
      </c>
      <c r="O12" s="28" t="inlineStr">
        <is>
          <t>Solo analytics/tag en home</t>
        </is>
      </c>
      <c r="P12" s="30" t="inlineStr">
        <is>
          <t>Por confirmar</t>
        </is>
      </c>
      <c r="Q12" s="30" t="n"/>
      <c r="R12" s="30" t="inlineStr">
        <is>
          <t>No iniciado</t>
        </is>
      </c>
      <c r="S12" s="30" t="n"/>
      <c r="T12" s="30" t="n"/>
      <c r="U12" s="30" t="n"/>
    </row>
    <row r="13" ht="22.35" customHeight="1" s="19">
      <c r="A13" s="31" t="n">
        <v>12</v>
      </c>
      <c r="B13" s="31" t="inlineStr">
        <is>
          <t>Farmacias del Ahorro</t>
        </is>
      </c>
      <c r="C13" s="31" t="inlineStr">
        <is>
          <t>Farmacia</t>
        </is>
      </c>
      <c r="D13" s="31" t="n">
        <v>2</v>
      </c>
      <c r="E13" s="28" t="inlineStr">
        <is>
          <t>Claudia M. Ramírez Ortiz</t>
        </is>
      </c>
      <c r="F13" s="28" t="inlineStr">
        <is>
          <t>Directora Ejecutiva de Marketing y Lealtad</t>
        </is>
      </c>
      <c r="G13" s="28" t="inlineStr">
        <is>
          <t>Decisor</t>
        </is>
      </c>
      <c r="H13" s="28" t="inlineStr">
        <is>
          <t>Merca2.0 (perfil) · Adlatina</t>
        </is>
      </c>
      <c r="I13" s="28" t="inlineStr">
        <is>
          <t>mar-2025</t>
        </is>
      </c>
      <c r="J13" s="28" t="inlineStr">
        <is>
          <t>Indicio (verificar vigencia)</t>
        </is>
      </c>
      <c r="K13" s="30" t="inlineStr">
        <is>
          <t>[PENDIENTE — Sales Navigator / Apollo]</t>
        </is>
      </c>
      <c r="L13" s="30" t="inlineStr">
        <is>
          <t>[PENDIENTE — Sales Navigator / Apollo]</t>
        </is>
      </c>
      <c r="M13" s="30" t="inlineStr">
        <is>
          <t>[PENDIENTE — Sales Navigator / Apollo]</t>
        </is>
      </c>
      <c r="N13" s="28" t="inlineStr">
        <is>
          <t>Pitch creativo cerrado con Almacén (feb-2026). Lealtad + marketing bajo el mismo cargo = interesada en recurrencia, no solo primera compra.</t>
        </is>
      </c>
      <c r="O13" s="28" t="inlineStr">
        <is>
          <t>Solo analytics/tag en home</t>
        </is>
      </c>
      <c r="P13" s="30" t="inlineStr">
        <is>
          <t>Por confirmar</t>
        </is>
      </c>
      <c r="Q13" s="30" t="n"/>
      <c r="R13" s="30" t="inlineStr">
        <is>
          <t>No iniciado</t>
        </is>
      </c>
      <c r="S13" s="30" t="n"/>
      <c r="T13" s="30" t="n"/>
      <c r="U13" s="30" t="n"/>
    </row>
    <row r="14" ht="22.35" customHeight="1" s="19">
      <c r="A14" s="31" t="n">
        <v>13</v>
      </c>
      <c r="B14" s="31" t="inlineStr">
        <is>
          <t>Innovasport</t>
        </is>
      </c>
      <c r="C14" s="31" t="inlineStr">
        <is>
          <t>Deportes</t>
        </is>
      </c>
      <c r="D14" s="31" t="n">
        <v>2</v>
      </c>
      <c r="E14" s="30" t="inlineStr">
        <is>
          <t>[PENDIENTE]</t>
        </is>
      </c>
      <c r="F14" s="28" t="inlineStr">
        <is>
          <t>VP Customer Experience &amp; Digital</t>
        </is>
      </c>
      <c r="G14" s="28" t="inlineStr">
        <is>
          <t>Decisor</t>
        </is>
      </c>
      <c r="H14" s="28" t="inlineStr">
        <is>
          <t>LeadIQ (perfil de empresa, sin nombre público)</t>
        </is>
      </c>
      <c r="I14" s="28" t="inlineStr">
        <is>
          <t>2025</t>
        </is>
      </c>
      <c r="J14" s="32" t="inlineStr">
        <is>
          <t>Sin nombre</t>
        </is>
      </c>
      <c r="K14" s="30" t="inlineStr">
        <is>
          <t>[PENDIENTE — Sales Navigator / Apollo]</t>
        </is>
      </c>
      <c r="L14" s="30" t="inlineStr">
        <is>
          <t>[PENDIENTE — Sales Navigator / Apollo]</t>
        </is>
      </c>
      <c r="M14" s="30" t="inlineStr">
        <is>
          <t>[PENDIENTE — Sales Navigator / Apollo]</t>
        </is>
      </c>
      <c r="N14" s="28" t="inlineStr">
        <is>
          <t>App propia recién lanzada + AppsFlyer instalado + RTB House + Criteo + Taboola + afiliados. Es el target con score de fit CPA más alto de todo retail.</t>
        </is>
      </c>
      <c r="O14" s="28" t="inlineStr">
        <is>
          <t>Afiliados: Awin · Retargeting: RTB House, Criteo · Dyn. remarketing</t>
        </is>
      </c>
      <c r="P14" s="30" t="inlineStr">
        <is>
          <t>Por confirmar</t>
        </is>
      </c>
      <c r="Q14" s="30" t="n"/>
      <c r="R14" s="30" t="inlineStr">
        <is>
          <t>No iniciado</t>
        </is>
      </c>
      <c r="S14" s="30" t="n"/>
      <c r="T14" s="30" t="n"/>
      <c r="U14" s="30" t="n"/>
    </row>
    <row r="15" ht="22.35" customHeight="1" s="19">
      <c r="A15" s="31" t="n">
        <v>14</v>
      </c>
      <c r="B15" s="31" t="inlineStr">
        <is>
          <t>Martí</t>
        </is>
      </c>
      <c r="C15" s="31" t="inlineStr">
        <is>
          <t>Deportes</t>
        </is>
      </c>
      <c r="D15" s="31" t="n">
        <v>2</v>
      </c>
      <c r="E15" s="28" t="inlineStr">
        <is>
          <t>Emilio Trabulse</t>
        </is>
      </c>
      <c r="F15" s="28" t="inlineStr">
        <is>
          <t>Director de Mercadotecnia Grupo Martí</t>
        </is>
      </c>
      <c r="G15" s="28" t="inlineStr">
        <is>
          <t>Decisor</t>
        </is>
      </c>
      <c r="H15" s="28" t="inlineStr">
        <is>
          <t>InformaBTL</t>
        </is>
      </c>
      <c r="I15" s="28" t="inlineStr">
        <is>
          <t>2025</t>
        </is>
      </c>
      <c r="J15" s="28" t="inlineStr">
        <is>
          <t>Indicio</t>
        </is>
      </c>
      <c r="K15" s="30" t="inlineStr">
        <is>
          <t>[PENDIENTE — Sales Navigator / Apollo]</t>
        </is>
      </c>
      <c r="L15" s="30" t="inlineStr">
        <is>
          <t>[PENDIENTE — Sales Navigator / Apollo]</t>
        </is>
      </c>
      <c r="M15" s="30" t="inlineStr">
        <is>
          <t>[PENDIENTE — Sales Navigator / Apollo]</t>
        </is>
      </c>
      <c r="N15" s="28" t="inlineStr">
        <is>
          <t>Score de fit CPA alto: RTB House + Criteo + Taboola + afiliados. Ya compra a resultado en web.</t>
        </is>
      </c>
      <c r="O15" s="28" t="inlineStr">
        <is>
          <t>[sin lectura — bloqueó scan]</t>
        </is>
      </c>
      <c r="P15" s="30" t="inlineStr">
        <is>
          <t>Por confirmar</t>
        </is>
      </c>
      <c r="Q15" s="30" t="n"/>
      <c r="R15" s="30" t="inlineStr">
        <is>
          <t>No iniciado</t>
        </is>
      </c>
      <c r="S15" s="30" t="n"/>
      <c r="T15" s="30" t="n"/>
      <c r="U15" s="30" t="n"/>
    </row>
    <row r="16" ht="32.8" customHeight="1" s="19">
      <c r="A16" s="31" t="n">
        <v>15</v>
      </c>
      <c r="B16" s="31" t="inlineStr">
        <is>
          <t>Viva</t>
        </is>
      </c>
      <c r="C16" s="31" t="inlineStr">
        <is>
          <t>Travel</t>
        </is>
      </c>
      <c r="D16" s="31" t="n">
        <v>2</v>
      </c>
      <c r="E16" s="30" t="inlineStr">
        <is>
          <t>[PENDIENTE]</t>
        </is>
      </c>
      <c r="F16" s="28" t="inlineStr">
        <is>
          <t>Director de Marketing</t>
        </is>
      </c>
      <c r="G16" s="28" t="inlineStr">
        <is>
          <t>Decisor</t>
        </is>
      </c>
      <c r="H16" s="28" t="inlineStr">
        <is>
          <t>—</t>
        </is>
      </c>
      <c r="I16" s="28" t="inlineStr">
        <is>
          <t>—</t>
        </is>
      </c>
      <c r="J16" s="32" t="inlineStr">
        <is>
          <t>Sin dato</t>
        </is>
      </c>
      <c r="K16" s="30" t="inlineStr">
        <is>
          <t>[PENDIENTE — Sales Navigator / Apollo]</t>
        </is>
      </c>
      <c r="L16" s="30" t="inlineStr">
        <is>
          <t>[PENDIENTE — Sales Navigator / Apollo]</t>
        </is>
      </c>
      <c r="M16" s="30" t="inlineStr">
        <is>
          <t>[PENDIENTE — Sales Navigator / Apollo]</t>
        </is>
      </c>
      <c r="N16" s="28" t="inlineStr">
        <is>
          <t>Rebrand (oct-2024) + fusión con Volaris bajo Grupo Más Vuelos (dic-2025). Entrar ANTES de que la fusión consolide proveedores. CEO: Juan Carlos Zuazua.</t>
        </is>
      </c>
      <c r="O16" s="28" t="inlineStr">
        <is>
          <t>[sin lectura — bloqueó scan]</t>
        </is>
      </c>
      <c r="P16" s="30" t="inlineStr">
        <is>
          <t>Por confirmar</t>
        </is>
      </c>
      <c r="Q16" s="30" t="n"/>
      <c r="R16" s="30" t="inlineStr">
        <is>
          <t>No iniciado</t>
        </is>
      </c>
      <c r="S16" s="30" t="n"/>
      <c r="T16" s="30" t="n"/>
      <c r="U16" s="30" t="n"/>
    </row>
    <row r="17" ht="22.35" customHeight="1" s="19">
      <c r="A17" s="31" t="n">
        <v>16</v>
      </c>
      <c r="B17" s="31" t="inlineStr">
        <is>
          <t>Volaris</t>
        </is>
      </c>
      <c r="C17" s="31" t="inlineStr">
        <is>
          <t>Travel</t>
        </is>
      </c>
      <c r="D17" s="31" t="n">
        <v>2</v>
      </c>
      <c r="E17" s="28" t="inlineStr">
        <is>
          <t>Daniel Gelemovich</t>
        </is>
      </c>
      <c r="F17" s="28" t="inlineStr">
        <is>
          <t>Director de Mercadotecnia y Digital</t>
        </is>
      </c>
      <c r="G17" s="28" t="inlineStr">
        <is>
          <t>Decisor</t>
        </is>
      </c>
      <c r="H17" s="28" t="inlineStr">
        <is>
          <t>Forbes México · Los mejores CMO 2026</t>
        </is>
      </c>
      <c r="I17" s="28" t="inlineStr">
        <is>
          <t>3-mar-2026</t>
        </is>
      </c>
      <c r="J17" s="29" t="inlineStr">
        <is>
          <t>Confirmado</t>
        </is>
      </c>
      <c r="K17" s="30" t="inlineStr">
        <is>
          <t>[PENDIENTE — Sales Navigator / Apollo]</t>
        </is>
      </c>
      <c r="L17" s="30" t="inlineStr">
        <is>
          <t>[PENDIENTE — Sales Navigator / Apollo]</t>
        </is>
      </c>
      <c r="M17" s="30" t="inlineStr">
        <is>
          <t>[PENDIENTE — Sales Navigator / Apollo]</t>
        </is>
      </c>
      <c r="N17" s="28" t="inlineStr">
        <is>
          <t>Performance in-house, early adopter de CTV/CPA. 70%+ de la compra viene de anuncio digital. RTB House + dynamic remarketing activos.</t>
        </is>
      </c>
      <c r="O17" s="28" t="inlineStr">
        <is>
          <t>Retargeting: RTB House · Dyn. remarketing</t>
        </is>
      </c>
      <c r="P17" s="30" t="inlineStr">
        <is>
          <t>Por confirmar</t>
        </is>
      </c>
      <c r="Q17" s="30" t="n"/>
      <c r="R17" s="30" t="inlineStr">
        <is>
          <t>No iniciado</t>
        </is>
      </c>
      <c r="S17" s="30" t="n"/>
      <c r="T17" s="30" t="n"/>
      <c r="U17" s="30" t="n"/>
    </row>
    <row r="18" ht="22.35" customHeight="1" s="19">
      <c r="A18" s="31" t="n">
        <v>17</v>
      </c>
      <c r="B18" s="31" t="inlineStr">
        <is>
          <t>Volaris</t>
        </is>
      </c>
      <c r="C18" s="31" t="inlineStr">
        <is>
          <t>Travel</t>
        </is>
      </c>
      <c r="D18" s="31" t="n">
        <v>2</v>
      </c>
      <c r="E18" s="28" t="inlineStr">
        <is>
          <t>Víctor Martínez Hernández</t>
        </is>
      </c>
      <c r="F18" s="28" t="inlineStr">
        <is>
          <t>Head of Digital Media</t>
        </is>
      </c>
      <c r="G18" s="28" t="inlineStr">
        <is>
          <t>Comprador</t>
        </is>
      </c>
      <c r="H18" s="28" t="inlineStr">
        <is>
          <t>Caso Seedtag / Revista Economía</t>
        </is>
      </c>
      <c r="I18" s="28" t="inlineStr">
        <is>
          <t>2025</t>
        </is>
      </c>
      <c r="J18" s="28" t="inlineStr">
        <is>
          <t>Indicio</t>
        </is>
      </c>
      <c r="K18" s="30" t="inlineStr">
        <is>
          <t>[PENDIENTE — Sales Navigator / Apollo]</t>
        </is>
      </c>
      <c r="L18" s="30" t="inlineStr">
        <is>
          <t>[PENDIENTE — Sales Navigator / Apollo]</t>
        </is>
      </c>
      <c r="M18" s="30" t="inlineStr">
        <is>
          <t>[PENDIENTE — Sales Navigator / Apollo]</t>
        </is>
      </c>
      <c r="N18" s="28" t="inlineStr">
        <is>
          <t>El que realmente compra el medio. Ruta operativa después de abrir con Gelemovich.</t>
        </is>
      </c>
      <c r="O18" s="28" t="inlineStr">
        <is>
          <t>Retargeting: RTB House · Dyn. remarketing</t>
        </is>
      </c>
      <c r="P18" s="30" t="inlineStr">
        <is>
          <t>Por confirmar</t>
        </is>
      </c>
      <c r="Q18" s="30" t="n"/>
      <c r="R18" s="30" t="inlineStr">
        <is>
          <t>No iniciado</t>
        </is>
      </c>
      <c r="S18" s="30" t="n"/>
      <c r="T18" s="30" t="n"/>
      <c r="U18" s="30" t="n"/>
    </row>
    <row r="19" ht="22.35" customHeight="1" s="19">
      <c r="A19" s="31" t="n">
        <v>18</v>
      </c>
      <c r="B19" s="31" t="inlineStr">
        <is>
          <t>Aeroméxico</t>
        </is>
      </c>
      <c r="C19" s="31" t="inlineStr">
        <is>
          <t>Travel</t>
        </is>
      </c>
      <c r="D19" s="31" t="n">
        <v>2</v>
      </c>
      <c r="E19" s="28" t="inlineStr">
        <is>
          <t>Andrés Castañeda</t>
        </is>
      </c>
      <c r="F19" s="28" t="inlineStr">
        <is>
          <t>VP Ejecutivo de Experiencia al Cliente y Digital</t>
        </is>
      </c>
      <c r="G19" s="28" t="inlineStr">
        <is>
          <t>Decisor</t>
        </is>
      </c>
      <c r="H19" s="28" t="inlineStr">
        <is>
          <t>Forbes México · Los mejores CMO 2026</t>
        </is>
      </c>
      <c r="I19" s="28" t="inlineStr">
        <is>
          <t>3-mar-2026</t>
        </is>
      </c>
      <c r="J19" s="29" t="inlineStr">
        <is>
          <t>Confirmado</t>
        </is>
      </c>
      <c r="K19" s="30" t="inlineStr">
        <is>
          <t>[PENDIENTE — Sales Navigator / Apollo]</t>
        </is>
      </c>
      <c r="L19" s="30" t="inlineStr">
        <is>
          <t>[PENDIENTE — Sales Navigator / Apollo]</t>
        </is>
      </c>
      <c r="M19" s="30" t="inlineStr">
        <is>
          <t>[PENDIENTE — Sales Navigator / Apollo]</t>
        </is>
      </c>
      <c r="N19" s="28" t="inlineStr">
        <is>
          <t>Loyalty en 37% (récord) + regreso a BMV/NYSE 2025. Digital y CX en el mismo cargo = dueño del funnel completo.</t>
        </is>
      </c>
      <c r="O19" s="28" t="inlineStr">
        <is>
          <t>[sin lectura — bloqueó scan]</t>
        </is>
      </c>
      <c r="P19" s="30" t="inlineStr">
        <is>
          <t>Por confirmar</t>
        </is>
      </c>
      <c r="Q19" s="30" t="n"/>
      <c r="R19" s="30" t="inlineStr">
        <is>
          <t>No iniciado</t>
        </is>
      </c>
      <c r="S19" s="30" t="n"/>
      <c r="T19" s="30" t="n"/>
      <c r="U19" s="30" t="n"/>
    </row>
    <row r="20" ht="22.35" customHeight="1" s="19">
      <c r="A20" s="31" t="n">
        <v>19</v>
      </c>
      <c r="B20" s="31" t="inlineStr">
        <is>
          <t>Jüsto</t>
        </is>
      </c>
      <c r="C20" s="31" t="inlineStr">
        <is>
          <t>Grocery online</t>
        </is>
      </c>
      <c r="D20" s="31" t="n">
        <v>2</v>
      </c>
      <c r="E20" s="30" t="inlineStr">
        <is>
          <t>[PENDIENTE]</t>
        </is>
      </c>
      <c r="F20" s="28" t="inlineStr">
        <is>
          <t>Head of Growth</t>
        </is>
      </c>
      <c r="G20" s="28" t="inlineStr">
        <is>
          <t>Decisor</t>
        </is>
      </c>
      <c r="H20" s="28" t="inlineStr">
        <is>
          <t>—</t>
        </is>
      </c>
      <c r="I20" s="28" t="inlineStr">
        <is>
          <t>—</t>
        </is>
      </c>
      <c r="J20" s="32" t="inlineStr">
        <is>
          <t>Sin dato</t>
        </is>
      </c>
      <c r="K20" s="30" t="inlineStr">
        <is>
          <t>[PENDIENTE — Sales Navigator / Apollo]</t>
        </is>
      </c>
      <c r="L20" s="30" t="inlineStr">
        <is>
          <t>[PENDIENTE — Sales Navigator / Apollo]</t>
        </is>
      </c>
      <c r="M20" s="30" t="inlineStr">
        <is>
          <t>[PENDIENTE — Sales Navigator / Apollo]</t>
        </is>
      </c>
      <c r="N20" s="28" t="inlineStr">
        <is>
          <t>Grocery-tech: quema de CAC estructural. Sin agencia pública. Fit CPA alto, sin objeción de fee.</t>
        </is>
      </c>
      <c r="O20" s="28" t="inlineStr">
        <is>
          <t>Solo analytics/tag en home</t>
        </is>
      </c>
      <c r="P20" s="30" t="inlineStr">
        <is>
          <t>Por confirmar</t>
        </is>
      </c>
      <c r="Q20" s="30" t="n"/>
      <c r="R20" s="30" t="inlineStr">
        <is>
          <t>No iniciado</t>
        </is>
      </c>
      <c r="S20" s="30" t="n"/>
      <c r="T20" s="30" t="n"/>
      <c r="U20" s="30" t="n"/>
    </row>
    <row r="21" ht="32.8" customHeight="1" s="19">
      <c r="A21" s="33" t="n">
        <v>20</v>
      </c>
      <c r="B21" s="33" t="inlineStr">
        <is>
          <t>Alsea</t>
        </is>
      </c>
      <c r="C21" s="33" t="inlineStr">
        <is>
          <t>QSR</t>
        </is>
      </c>
      <c r="D21" s="33" t="n">
        <v>3</v>
      </c>
      <c r="E21" s="30" t="inlineStr">
        <is>
          <t>[PENDIENTE]</t>
        </is>
      </c>
      <c r="F21" s="28" t="inlineStr">
        <is>
          <t>Director Digital / Marketing Alsea</t>
        </is>
      </c>
      <c r="G21" s="28" t="inlineStr">
        <is>
          <t>Decisor</t>
        </is>
      </c>
      <c r="H21" s="28" t="inlineStr">
        <is>
          <t>—</t>
        </is>
      </c>
      <c r="I21" s="28" t="inlineStr">
        <is>
          <t>—</t>
        </is>
      </c>
      <c r="J21" s="32" t="inlineStr">
        <is>
          <t>Sin dato</t>
        </is>
      </c>
      <c r="K21" s="30" t="inlineStr">
        <is>
          <t>[PENDIENTE — Sales Navigator / Apollo]</t>
        </is>
      </c>
      <c r="L21" s="30" t="inlineStr">
        <is>
          <t>[PENDIENTE — Sales Navigator / Apollo]</t>
        </is>
      </c>
      <c r="M21" s="30" t="inlineStr">
        <is>
          <t>[PENDIENTE — Sales Navigator / Apollo]</t>
        </is>
      </c>
      <c r="N21" s="28" t="inlineStr">
        <is>
          <t>TU MEJOR ENTRADA POR RED: cuenta en Carat/dentsu desde mar-2024 (proceso liderado por Andy Berman, CGO dentsu Latam). Gancho duro: utilidad neta 1T2026 -65.7%, canal digital ya en 41.2% de ventas.</t>
        </is>
      </c>
      <c r="O21" s="28" t="inlineStr">
        <is>
          <t>Solo analytics/tag en home</t>
        </is>
      </c>
      <c r="P21" s="30" t="inlineStr">
        <is>
          <t>Por confirmar</t>
        </is>
      </c>
      <c r="Q21" s="30" t="n"/>
      <c r="R21" s="30" t="inlineStr">
        <is>
          <t>No iniciado</t>
        </is>
      </c>
      <c r="S21" s="30" t="n"/>
      <c r="T21" s="30" t="n"/>
      <c r="U21" s="30" t="n"/>
    </row>
    <row r="22" ht="32.8" customHeight="1" s="19">
      <c r="A22" s="33" t="n">
        <v>21</v>
      </c>
      <c r="B22" s="33" t="inlineStr">
        <is>
          <t>Cinépolis</t>
        </is>
      </c>
      <c r="C22" s="33" t="inlineStr">
        <is>
          <t>Entretenimiento</t>
        </is>
      </c>
      <c r="D22" s="33" t="n">
        <v>3</v>
      </c>
      <c r="E22" s="28" t="inlineStr">
        <is>
          <t>Verónica Espinosa</t>
        </is>
      </c>
      <c r="F22" s="28" t="inlineStr">
        <is>
          <t>Gerente de Marketing</t>
        </is>
      </c>
      <c r="G22" s="28" t="inlineStr">
        <is>
          <t>Influencer</t>
        </is>
      </c>
      <c r="H22" s="28" t="inlineStr">
        <is>
          <t>Adlatina 'Quién es quién en marketing de cine'</t>
        </is>
      </c>
      <c r="I22" s="28" t="inlineStr">
        <is>
          <t>2017 — DESACTUALIZADO</t>
        </is>
      </c>
      <c r="J22" s="32" t="inlineStr">
        <is>
          <t>Baja</t>
        </is>
      </c>
      <c r="K22" s="30" t="inlineStr">
        <is>
          <t>[PENDIENTE — Sales Navigator / Apollo]</t>
        </is>
      </c>
      <c r="L22" s="30" t="inlineStr">
        <is>
          <t>[PENDIENTE — Sales Navigator / Apollo]</t>
        </is>
      </c>
      <c r="M22" s="30" t="inlineStr">
        <is>
          <t>[PENDIENTE — Sales Navigator / Apollo]</t>
        </is>
      </c>
      <c r="N22" s="28" t="inlineStr">
        <is>
          <t>Dato de 2017, verificar antes de usar. Cuenta en Havas Media + Cinépolis Media (retail media propio). Angulo: demanda incremental para su propio inventario.</t>
        </is>
      </c>
      <c r="O22" s="28" t="inlineStr">
        <is>
          <t>[sin lectura — bloqueó scan]</t>
        </is>
      </c>
      <c r="P22" s="30" t="inlineStr">
        <is>
          <t>Por confirmar</t>
        </is>
      </c>
      <c r="Q22" s="30" t="n"/>
      <c r="R22" s="30" t="inlineStr">
        <is>
          <t>No iniciado</t>
        </is>
      </c>
      <c r="S22" s="30" t="n"/>
      <c r="T22" s="30" t="n"/>
      <c r="U22" s="30" t="n"/>
    </row>
    <row r="23" ht="22.35" customHeight="1" s="19">
      <c r="A23" s="33" t="n">
        <v>22</v>
      </c>
      <c r="B23" s="33" t="inlineStr">
        <is>
          <t>Liverpool</t>
        </is>
      </c>
      <c r="C23" s="33" t="inlineStr">
        <is>
          <t>Departamental</t>
        </is>
      </c>
      <c r="D23" s="33" t="n">
        <v>3</v>
      </c>
      <c r="E23" s="28" t="inlineStr">
        <is>
          <t>Rodrigo Luna</t>
        </is>
      </c>
      <c r="F23" s="28" t="inlineStr">
        <is>
          <t>Director de Marketing El Puerto de Liverpool</t>
        </is>
      </c>
      <c r="G23" s="28" t="inlineStr">
        <is>
          <t>Decisor</t>
        </is>
      </c>
      <c r="H23" s="28" t="inlineStr">
        <is>
          <t>Forbes México · Los mejores CMO 2026</t>
        </is>
      </c>
      <c r="I23" s="28" t="inlineStr">
        <is>
          <t>3-mar-2026</t>
        </is>
      </c>
      <c r="J23" s="29" t="inlineStr">
        <is>
          <t>Confirmado</t>
        </is>
      </c>
      <c r="K23" s="30" t="inlineStr">
        <is>
          <t>[PENDIENTE — Sales Navigator / Apollo]</t>
        </is>
      </c>
      <c r="L23" s="30" t="inlineStr">
        <is>
          <t>[PENDIENTE — Sales Navigator / Apollo]</t>
        </is>
      </c>
      <c r="M23" s="30" t="inlineStr">
        <is>
          <t>[PENDIENTE — Sales Navigator / Apollo]</t>
        </is>
      </c>
      <c r="N23" s="28" t="inlineStr">
        <is>
          <t>Publicis ganó la cuenta (~2025). No competir con el holding: posicionar app-CPA como línea que Publicis no cubre a riesgo. Suburbia es la misma decisión.</t>
        </is>
      </c>
      <c r="O23" s="28" t="inlineStr">
        <is>
          <t>[sin lectura — bloqueó scan]</t>
        </is>
      </c>
      <c r="P23" s="30" t="inlineStr">
        <is>
          <t>Por confirmar</t>
        </is>
      </c>
      <c r="Q23" s="30" t="n"/>
      <c r="R23" s="30" t="inlineStr">
        <is>
          <t>No iniciado</t>
        </is>
      </c>
      <c r="S23" s="30" t="n"/>
      <c r="T23" s="30" t="n"/>
      <c r="U23" s="30" t="n"/>
    </row>
    <row r="24" ht="32.8" customHeight="1" s="19">
      <c r="A24" s="33" t="n">
        <v>23</v>
      </c>
      <c r="B24" s="33" t="inlineStr">
        <is>
          <t>Coppel</t>
        </is>
      </c>
      <c r="C24" s="33" t="inlineStr">
        <is>
          <t>Departamental</t>
        </is>
      </c>
      <c r="D24" s="33" t="n">
        <v>3</v>
      </c>
      <c r="E24" s="28" t="inlineStr">
        <is>
          <t>Liliana Íñigo</t>
        </is>
      </c>
      <c r="F24" s="28" t="inlineStr">
        <is>
          <t>CMO en Coppel</t>
        </is>
      </c>
      <c r="G24" s="28" t="inlineStr">
        <is>
          <t>Decisor</t>
        </is>
      </c>
      <c r="H24" s="28" t="inlineStr">
        <is>
          <t>Forbes México · Los mejores CMO 2026</t>
        </is>
      </c>
      <c r="I24" s="28" t="inlineStr">
        <is>
          <t>3-mar-2026</t>
        </is>
      </c>
      <c r="J24" s="29" t="inlineStr">
        <is>
          <t>Confirmado</t>
        </is>
      </c>
      <c r="K24" s="30" t="inlineStr">
        <is>
          <t>[PENDIENTE — Sales Navigator / Apollo]</t>
        </is>
      </c>
      <c r="L24" s="30" t="inlineStr">
        <is>
          <t>[PENDIENTE — Sales Navigator / Apollo]</t>
        </is>
      </c>
      <c r="M24" s="30" t="inlineStr">
        <is>
          <t>[PENDIENTE — Sales Navigator / Apollo]</t>
        </is>
      </c>
      <c r="N24" s="28" t="inlineStr">
        <is>
          <t>OJO: dato previo la listaba como Dir. Corp. de Mercadotecnia con Diego Coppel Sullivan como CMO. Forbes 2026 es más reciente. Plan de 80,000 mdp en transformación digital a 5 años.</t>
        </is>
      </c>
      <c r="O24" s="28" t="inlineStr">
        <is>
          <t>Solo analytics/tag en home</t>
        </is>
      </c>
      <c r="P24" s="30" t="inlineStr">
        <is>
          <t>Por confirmar</t>
        </is>
      </c>
      <c r="Q24" s="30" t="n"/>
      <c r="R24" s="30" t="inlineStr">
        <is>
          <t>No iniciado</t>
        </is>
      </c>
      <c r="S24" s="30" t="n"/>
      <c r="T24" s="30" t="n"/>
      <c r="U24" s="30" t="n"/>
    </row>
    <row r="25" ht="22.35" customHeight="1" s="19">
      <c r="A25" s="33" t="n">
        <v>24</v>
      </c>
      <c r="B25" s="33" t="inlineStr">
        <is>
          <t>Elektra / Baz</t>
        </is>
      </c>
      <c r="C25" s="33" t="inlineStr">
        <is>
          <t>Departamental / Fintech</t>
        </is>
      </c>
      <c r="D25" s="33" t="n">
        <v>3</v>
      </c>
      <c r="E25" s="28" t="inlineStr">
        <is>
          <t>Elena Alti</t>
        </is>
      </c>
      <c r="F25" s="28" t="inlineStr">
        <is>
          <t>SVP Marketing Grupo Salinas (y miembro del Comité)</t>
        </is>
      </c>
      <c r="G25" s="28" t="inlineStr">
        <is>
          <t>Decisor</t>
        </is>
      </c>
      <c r="H25" s="28" t="inlineStr">
        <is>
          <t>Forbes México · Los mejores CMO 2026</t>
        </is>
      </c>
      <c r="I25" s="28" t="inlineStr">
        <is>
          <t>3-mar-2026</t>
        </is>
      </c>
      <c r="J25" s="29" t="inlineStr">
        <is>
          <t>Confirmado</t>
        </is>
      </c>
      <c r="K25" s="30" t="inlineStr">
        <is>
          <t>[PENDIENTE — Sales Navigator / Apollo]</t>
        </is>
      </c>
      <c r="L25" s="30" t="inlineStr">
        <is>
          <t>[PENDIENTE — Sales Navigator / Apollo]</t>
        </is>
      </c>
      <c r="M25" s="30" t="inlineStr">
        <is>
          <t>[PENDIENTE — Sales Navigator / Apollo]</t>
        </is>
      </c>
      <c r="N25" s="28" t="inlineStr">
        <is>
          <t>Nivel grupo: cubre Elektra + Banco Azteca + Baz. AppsFlyer + Adobe AAM + Emarsys = madurez técnica alta, integración rápida.</t>
        </is>
      </c>
      <c r="O25" s="28" t="inlineStr">
        <is>
          <t>MMP: AppsFlyer · Dyn. remarketing</t>
        </is>
      </c>
      <c r="P25" s="30" t="inlineStr">
        <is>
          <t>Por confirmar</t>
        </is>
      </c>
      <c r="Q25" s="30" t="n"/>
      <c r="R25" s="30" t="inlineStr">
        <is>
          <t>No iniciado</t>
        </is>
      </c>
      <c r="S25" s="30" t="n"/>
      <c r="T25" s="30" t="n"/>
      <c r="U25" s="30" t="n"/>
    </row>
    <row r="26" ht="22.35" customHeight="1" s="19">
      <c r="A26" s="33" t="n">
        <v>25</v>
      </c>
      <c r="B26" s="33" t="inlineStr">
        <is>
          <t>Home Depot México</t>
        </is>
      </c>
      <c r="C26" s="33" t="inlineStr">
        <is>
          <t>Hogar</t>
        </is>
      </c>
      <c r="D26" s="33" t="n">
        <v>3</v>
      </c>
      <c r="E26" s="28" t="inlineStr">
        <is>
          <t>Erika Díaz</t>
        </is>
      </c>
      <c r="F26" s="28" t="inlineStr">
        <is>
          <t>VP de Ventas en Línea, Mercadotecnia y RP</t>
        </is>
      </c>
      <c r="G26" s="28" t="inlineStr">
        <is>
          <t>Decisor</t>
        </is>
      </c>
      <c r="H26" s="28" t="inlineStr">
        <is>
          <t>Marketing4eCommerce</t>
        </is>
      </c>
      <c r="I26" s="28" t="inlineStr">
        <is>
          <t>2025</t>
        </is>
      </c>
      <c r="J26" s="28" t="inlineStr">
        <is>
          <t>Indicio</t>
        </is>
      </c>
      <c r="K26" s="30" t="inlineStr">
        <is>
          <t>[PENDIENTE — Sales Navigator / Apollo]</t>
        </is>
      </c>
      <c r="L26" s="30" t="inlineStr">
        <is>
          <t>[PENDIENTE — Sales Navigator / Apollo]</t>
        </is>
      </c>
      <c r="M26" s="30" t="inlineStr">
        <is>
          <t>[PENDIENTE — Sales Navigator / Apollo]</t>
        </is>
      </c>
      <c r="N26" s="28" t="inlineStr">
        <is>
          <t>24 años en la empresa. Havas+ en medios (2023) + Terán/TBWA creativo (feb-2025). Ticket alto → modelo % sobre revenue.</t>
        </is>
      </c>
      <c r="O26" s="28" t="inlineStr">
        <is>
          <t>Retargeting: RTB House</t>
        </is>
      </c>
      <c r="P26" s="30" t="inlineStr">
        <is>
          <t>Por confirmar</t>
        </is>
      </c>
      <c r="Q26" s="30" t="n"/>
      <c r="R26" s="30" t="inlineStr">
        <is>
          <t>No iniciado</t>
        </is>
      </c>
      <c r="S26" s="30" t="n"/>
      <c r="T26" s="30" t="n"/>
      <c r="U26" s="30" t="n"/>
    </row>
    <row r="27" ht="22.35" customHeight="1" s="19">
      <c r="A27" s="33" t="n">
        <v>26</v>
      </c>
      <c r="B27" s="33" t="inlineStr">
        <is>
          <t>Walmart de México</t>
        </is>
      </c>
      <c r="C27" s="33" t="inlineStr">
        <is>
          <t>Autoservicio</t>
        </is>
      </c>
      <c r="D27" s="33" t="n">
        <v>3</v>
      </c>
      <c r="E27" s="28" t="inlineStr">
        <is>
          <t>Mariana Fonseca</t>
        </is>
      </c>
      <c r="F27" s="28" t="inlineStr">
        <is>
          <t>VP Customer Officer Walmart de México y Centroamérica</t>
        </is>
      </c>
      <c r="G27" s="28" t="inlineStr">
        <is>
          <t>Decisor</t>
        </is>
      </c>
      <c r="H27" s="28" t="inlineStr">
        <is>
          <t>Forbes México · Los mejores CMO 2026</t>
        </is>
      </c>
      <c r="I27" s="28" t="inlineStr">
        <is>
          <t>3-mar-2026</t>
        </is>
      </c>
      <c r="J27" s="29" t="inlineStr">
        <is>
          <t>Confirmado</t>
        </is>
      </c>
      <c r="K27" s="30" t="inlineStr">
        <is>
          <t>[PENDIENTE — Sales Navigator / Apollo]</t>
        </is>
      </c>
      <c r="L27" s="30" t="inlineStr">
        <is>
          <t>[PENDIENTE — Sales Navigator / Apollo]</t>
        </is>
      </c>
      <c r="M27" s="30" t="inlineStr">
        <is>
          <t>[PENDIENTE — Sales Navigator / Apollo]</t>
        </is>
      </c>
      <c r="N27" s="28" t="inlineStr">
        <is>
          <t>Cuenta global con Publicis + Walmart Connect propio. Ciclo largo, procurement duro. Tier 3 por dificultad, no por tamaño.</t>
        </is>
      </c>
      <c r="O27" s="28" t="inlineStr">
        <is>
          <t>[sin lectura — bloqueó scan]</t>
        </is>
      </c>
      <c r="P27" s="30" t="inlineStr">
        <is>
          <t>Por confirmar</t>
        </is>
      </c>
      <c r="Q27" s="30" t="n"/>
      <c r="R27" s="30" t="inlineStr">
        <is>
          <t>No iniciado</t>
        </is>
      </c>
      <c r="S27" s="30" t="n"/>
      <c r="T27" s="30" t="n"/>
      <c r="U27" s="30" t="n"/>
    </row>
    <row r="28" ht="22.35" customHeight="1" s="19">
      <c r="A28" s="33" t="n">
        <v>27</v>
      </c>
      <c r="B28" s="33" t="inlineStr">
        <is>
          <t>Mercado Libre</t>
        </is>
      </c>
      <c r="C28" s="33" t="inlineStr">
        <is>
          <t>Marketplace</t>
        </is>
      </c>
      <c r="D28" s="33" t="n">
        <v>3</v>
      </c>
      <c r="E28" s="28" t="inlineStr">
        <is>
          <t>Sean Summers</t>
        </is>
      </c>
      <c r="F28" s="28" t="inlineStr">
        <is>
          <t>VP Ejecutivo y CMO</t>
        </is>
      </c>
      <c r="G28" s="28" t="inlineStr">
        <is>
          <t>Decisor regional</t>
        </is>
      </c>
      <c r="H28" s="28" t="inlineStr">
        <is>
          <t>Forbes México · Los mejores CMO 2026</t>
        </is>
      </c>
      <c r="I28" s="28" t="inlineStr">
        <is>
          <t>3-mar-2026</t>
        </is>
      </c>
      <c r="J28" s="29" t="inlineStr">
        <is>
          <t>Confirmado</t>
        </is>
      </c>
      <c r="K28" s="30" t="inlineStr">
        <is>
          <t>[PENDIENTE — Sales Navigator / Apollo]</t>
        </is>
      </c>
      <c r="L28" s="30" t="inlineStr">
        <is>
          <t>[PENDIENTE — Sales Navigator / Apollo]</t>
        </is>
      </c>
      <c r="M28" s="30" t="inlineStr">
        <is>
          <t>[PENDIENTE — Sales Navigator / Apollo]</t>
        </is>
      </c>
      <c r="N28" s="28" t="inlineStr">
        <is>
          <t>Growth in-house + Mercado Ads propio. Compite con tu modelo más que comprarlo. Tier 3.</t>
        </is>
      </c>
      <c r="O28" s="28" t="inlineStr">
        <is>
          <t>Solo analytics/tag en home</t>
        </is>
      </c>
      <c r="P28" s="30" t="inlineStr">
        <is>
          <t>Por confirmar</t>
        </is>
      </c>
      <c r="Q28" s="30" t="n"/>
      <c r="R28" s="30" t="inlineStr">
        <is>
          <t>No iniciado</t>
        </is>
      </c>
      <c r="S28" s="30" t="n"/>
      <c r="T28" s="30" t="n"/>
      <c r="U28" s="30" t="n"/>
    </row>
    <row r="29" ht="22.35" customHeight="1" s="19">
      <c r="A29" s="33" t="n">
        <v>28</v>
      </c>
      <c r="B29" s="33" t="inlineStr">
        <is>
          <t>Amazon México</t>
        </is>
      </c>
      <c r="C29" s="33" t="inlineStr">
        <is>
          <t>Marketplace</t>
        </is>
      </c>
      <c r="D29" s="33" t="n">
        <v>3</v>
      </c>
      <c r="E29" s="28" t="inlineStr">
        <is>
          <t>Juan José Sancho</t>
        </is>
      </c>
      <c r="F29" s="28" t="inlineStr">
        <is>
          <t>CMO de Amazon México</t>
        </is>
      </c>
      <c r="G29" s="28" t="inlineStr">
        <is>
          <t>Decisor</t>
        </is>
      </c>
      <c r="H29" s="28" t="inlineStr">
        <is>
          <t>Forbes México · Los mejores CMO 2026</t>
        </is>
      </c>
      <c r="I29" s="28" t="inlineStr">
        <is>
          <t>3-mar-2026</t>
        </is>
      </c>
      <c r="J29" s="29" t="inlineStr">
        <is>
          <t>Confirmado</t>
        </is>
      </c>
      <c r="K29" s="30" t="inlineStr">
        <is>
          <t>[PENDIENTE — Sales Navigator / Apollo]</t>
        </is>
      </c>
      <c r="L29" s="30" t="inlineStr">
        <is>
          <t>[PENDIENTE — Sales Navigator / Apollo]</t>
        </is>
      </c>
      <c r="M29" s="30" t="inlineStr">
        <is>
          <t>[PENDIENTE — Sales Navigator / Apollo]</t>
        </is>
      </c>
      <c r="N29" s="28" t="inlineStr">
        <is>
          <t>OMG ganó la cuenta Américas (2025). Procurement global. Nota: Kueski ya es su proveedor BNPL — posible referencia cruzada.</t>
        </is>
      </c>
      <c r="O29" s="28" t="inlineStr">
        <is>
          <t>[sin lectura — bloqueó scan]</t>
        </is>
      </c>
      <c r="P29" s="30" t="inlineStr">
        <is>
          <t>Por confirmar</t>
        </is>
      </c>
      <c r="Q29" s="30" t="n"/>
      <c r="R29" s="30" t="inlineStr">
        <is>
          <t>No iniciado</t>
        </is>
      </c>
      <c r="S29" s="30" t="n"/>
      <c r="T29" s="30" t="n"/>
      <c r="U29" s="30" t="n"/>
    </row>
    <row r="30" ht="22.35" customHeight="1" s="19">
      <c r="A30" s="33" t="n">
        <v>29</v>
      </c>
      <c r="B30" s="33" t="inlineStr">
        <is>
          <t>Nu México</t>
        </is>
      </c>
      <c r="C30" s="33" t="inlineStr">
        <is>
          <t>Fintech</t>
        </is>
      </c>
      <c r="D30" s="33" t="n">
        <v>3</v>
      </c>
      <c r="E30" s="28" t="inlineStr">
        <is>
          <t>Paulina Juaristi</t>
        </is>
      </c>
      <c r="F30" s="28" t="inlineStr">
        <is>
          <t>Directora de Marketing Nu México</t>
        </is>
      </c>
      <c r="G30" s="28" t="inlineStr">
        <is>
          <t>Decisor</t>
        </is>
      </c>
      <c r="H30" s="28" t="inlineStr">
        <is>
          <t>Forbes México · Los mejores CMO 2026</t>
        </is>
      </c>
      <c r="I30" s="28" t="inlineStr">
        <is>
          <t>3-mar-2026</t>
        </is>
      </c>
      <c r="J30" s="29" t="inlineStr">
        <is>
          <t>Confirmado</t>
        </is>
      </c>
      <c r="K30" s="30" t="inlineStr">
        <is>
          <t>[PENDIENTE — Sales Navigator / Apollo]</t>
        </is>
      </c>
      <c r="L30" s="30" t="inlineStr">
        <is>
          <t>[PENDIENTE — Sales Navigator / Apollo]</t>
        </is>
      </c>
      <c r="M30" s="30" t="inlineStr">
        <is>
          <t>[PENDIENTE — Sales Navigator / Apollo]</t>
        </is>
      </c>
      <c r="N30" s="28" t="inlineStr">
        <is>
          <t>13M+ clientes, licencia bancaria obtenida. Growth in-house muy maduro. Tier 3 por dificultad de entrada, no por fit.</t>
        </is>
      </c>
      <c r="O30" s="28" t="inlineStr">
        <is>
          <t>[no scaneado]</t>
        </is>
      </c>
      <c r="P30" s="30" t="inlineStr">
        <is>
          <t>Por confirmar</t>
        </is>
      </c>
      <c r="Q30" s="30" t="n"/>
      <c r="R30" s="30" t="inlineStr">
        <is>
          <t>No iniciado</t>
        </is>
      </c>
      <c r="S30" s="30" t="n"/>
      <c r="T30" s="30" t="n"/>
      <c r="U30" s="30" t="n"/>
    </row>
    <row r="31" ht="32.8" customHeight="1" s="19">
      <c r="A31" s="33" t="n">
        <v>30</v>
      </c>
      <c r="B31" s="33" t="inlineStr">
        <is>
          <t>Telcel</t>
        </is>
      </c>
      <c r="C31" s="33" t="inlineStr">
        <is>
          <t>Telco</t>
        </is>
      </c>
      <c r="D31" s="33" t="n">
        <v>3</v>
      </c>
      <c r="E31" s="30" t="inlineStr">
        <is>
          <t>[PENDIENTE]</t>
        </is>
      </c>
      <c r="F31" s="28" t="inlineStr">
        <is>
          <t>Subdirector de Mercadotecnia Digital</t>
        </is>
      </c>
      <c r="G31" s="28" t="inlineStr">
        <is>
          <t>Decisor</t>
        </is>
      </c>
      <c r="H31" s="28" t="inlineStr">
        <is>
          <t>—</t>
        </is>
      </c>
      <c r="I31" s="28" t="inlineStr">
        <is>
          <t>—</t>
        </is>
      </c>
      <c r="J31" s="32" t="inlineStr">
        <is>
          <t>Sin dato</t>
        </is>
      </c>
      <c r="K31" s="30" t="inlineStr">
        <is>
          <t>[PENDIENTE — Sales Navigator / Apollo]</t>
        </is>
      </c>
      <c r="L31" s="30" t="inlineStr">
        <is>
          <t>[PENDIENTE — Sales Navigator / Apollo]</t>
        </is>
      </c>
      <c r="M31" s="30" t="inlineStr">
        <is>
          <t>[PENDIENTE — Sales Navigator / Apollo]</t>
        </is>
      </c>
      <c r="N31" s="28" t="inlineStr">
        <is>
          <t>ÁNGULO TÉCNICO ÚNICO: es el único target con Retargetly + Lotame + LiveRamp + TTD + Xandr — exactamente el stack de data de LSIX. Entrada por conversación de tecnología, no comercial.</t>
        </is>
      </c>
      <c r="O31" s="28" t="inlineStr">
        <is>
          <t>Dyn. remarketing</t>
        </is>
      </c>
      <c r="P31" s="30" t="inlineStr">
        <is>
          <t>Por confirmar</t>
        </is>
      </c>
      <c r="Q31" s="30" t="n"/>
      <c r="R31" s="30" t="inlineStr">
        <is>
          <t>No iniciado</t>
        </is>
      </c>
      <c r="S31" s="30" t="n"/>
      <c r="T31" s="30" t="n"/>
      <c r="U31" s="30" t="n"/>
    </row>
    <row r="32" ht="32.8" customHeight="1" s="19">
      <c r="A32" s="31" t="n">
        <v>31</v>
      </c>
      <c r="B32" s="31" t="inlineStr">
        <is>
          <t>Sephora México</t>
        </is>
      </c>
      <c r="C32" s="31" t="inlineStr">
        <is>
          <t>Beauty</t>
        </is>
      </c>
      <c r="D32" s="31" t="n">
        <v>2</v>
      </c>
      <c r="E32" s="28" t="inlineStr">
        <is>
          <t>Mauricio Padilla</t>
        </is>
      </c>
      <c r="F32" s="28" t="inlineStr">
        <is>
          <t>Dirección México</t>
        </is>
      </c>
      <c r="G32" s="28" t="inlineStr">
        <is>
          <t>Decisor</t>
        </is>
      </c>
      <c r="H32" s="28" t="inlineStr">
        <is>
          <t>Prensa de industria</t>
        </is>
      </c>
      <c r="I32" s="28" t="inlineStr">
        <is>
          <t>2025</t>
        </is>
      </c>
      <c r="J32" s="28" t="inlineStr">
        <is>
          <t>Indicio</t>
        </is>
      </c>
      <c r="K32" s="30" t="inlineStr">
        <is>
          <t>[PENDIENTE — Sales Navigator / Apollo]</t>
        </is>
      </c>
      <c r="L32" s="30" t="inlineStr">
        <is>
          <t>[PENDIENTE — Sales Navigator / Apollo]</t>
        </is>
      </c>
      <c r="M32" s="30" t="inlineStr">
        <is>
          <t>[PENDIENTE — Sales Navigator / Apollo]</t>
        </is>
      </c>
      <c r="N32" s="28" t="inlineStr">
        <is>
          <t>Ya tienes el one-pager hecho. Ghostery confirmó RTB House (7 hits) + Smarterclick + Acuity + Ogury: compra retargeting a resultado hoy. Elogia opera paid media.</t>
        </is>
      </c>
      <c r="O32" s="28" t="inlineStr">
        <is>
          <t>Retargeting: RTB House, Smarterclick · Dyn. remarketing</t>
        </is>
      </c>
      <c r="P32" s="30" t="inlineStr">
        <is>
          <t>Por confirmar</t>
        </is>
      </c>
      <c r="Q32" s="30" t="n"/>
      <c r="R32" s="30" t="inlineStr">
        <is>
          <t>No iniciado</t>
        </is>
      </c>
      <c r="S32" s="30" t="n"/>
      <c r="T32" s="30" t="n"/>
      <c r="U32" s="30" t="n"/>
    </row>
    <row r="33" ht="22.35" customHeight="1" s="19">
      <c r="A33" s="31" t="n">
        <v>32</v>
      </c>
      <c r="B33" s="31" t="inlineStr">
        <is>
          <t>Rappi México</t>
        </is>
      </c>
      <c r="C33" s="31" t="inlineStr">
        <is>
          <t>Delivery</t>
        </is>
      </c>
      <c r="D33" s="31" t="n">
        <v>2</v>
      </c>
      <c r="E33" s="30" t="inlineStr">
        <is>
          <t>[PENDIENTE]</t>
        </is>
      </c>
      <c r="F33" s="28" t="inlineStr">
        <is>
          <t>Head of Growth México</t>
        </is>
      </c>
      <c r="G33" s="28" t="inlineStr">
        <is>
          <t>Decisor</t>
        </is>
      </c>
      <c r="H33" s="28" t="inlineStr">
        <is>
          <t>—</t>
        </is>
      </c>
      <c r="I33" s="28" t="inlineStr">
        <is>
          <t>—</t>
        </is>
      </c>
      <c r="J33" s="32" t="inlineStr">
        <is>
          <t>Sin dato</t>
        </is>
      </c>
      <c r="K33" s="30" t="inlineStr">
        <is>
          <t>[PENDIENTE — Sales Navigator / Apollo]</t>
        </is>
      </c>
      <c r="L33" s="30" t="inlineStr">
        <is>
          <t>[PENDIENTE — Sales Navigator / Apollo]</t>
        </is>
      </c>
      <c r="M33" s="30" t="inlineStr">
        <is>
          <t>[PENDIENTE — Sales Navigator / Apollo]</t>
        </is>
      </c>
      <c r="N33" s="28" t="inlineStr">
        <is>
          <t>Decisión regional en Bogotá pero abre México (única excepción de tu regla de Fase 2). Singular instalado. Rappi Ads propio.</t>
        </is>
      </c>
      <c r="O33" s="28" t="inlineStr">
        <is>
          <t>MMP: AppsFlyer, Singular</t>
        </is>
      </c>
      <c r="P33" s="30" t="inlineStr">
        <is>
          <t>Por confirmar</t>
        </is>
      </c>
      <c r="Q33" s="30" t="n"/>
      <c r="R33" s="30" t="inlineStr">
        <is>
          <t>No iniciado</t>
        </is>
      </c>
      <c r="S33" s="30" t="n"/>
      <c r="T33" s="30" t="n"/>
      <c r="U33" s="30" t="n"/>
    </row>
  </sheetData>
  <autoFilter ref="A1:U33"/>
  <dataValidations count="3">
    <dataValidation sqref="P2:P33" showDropDown="0" showInputMessage="0" showErrorMessage="0" allowBlank="1" type="list" errorStyle="stop" operator="between">
      <formula1>Listas!$A$2:$A$7</formula1>
      <formula2>0</formula2>
    </dataValidation>
    <dataValidation sqref="Q2:Q33" showDropDown="0" showInputMessage="0" showErrorMessage="0" allowBlank="1" type="list" errorStyle="stop" operator="between">
      <formula1>Listas!$B$2:$B$7</formula1>
      <formula2>0</formula2>
    </dataValidation>
    <dataValidation sqref="R2:R33" showDropDown="0" showInputMessage="0" showErrorMessage="0" allowBlank="1" type="list" errorStyle="stop" operator="between">
      <formula1>Listas!$C$2:$C$10</formula1>
      <formula2>0</formula2>
    </dataValidation>
  </dataValidations>
  <printOptions horizontalCentered="0" verticalCentered="0" headings="0" gridLines="0" gridLinesSet="1"/>
  <pageMargins left="0.35" right="0.35" top="0.4" bottom="0.4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C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8" min="1" max="3"/>
  </cols>
  <sheetData>
    <row r="1" ht="15" customHeight="1" s="19">
      <c r="A1" s="34" t="inlineStr">
        <is>
          <t>Relación</t>
        </is>
      </c>
      <c r="B1" s="34" t="inlineStr">
        <is>
          <t>Canal</t>
        </is>
      </c>
      <c r="C1" s="34" t="inlineStr">
        <is>
          <t>Estado</t>
        </is>
      </c>
    </row>
    <row r="2" ht="15" customHeight="1" s="19">
      <c r="A2" s="23" t="inlineStr">
        <is>
          <t>Super Brother</t>
        </is>
      </c>
      <c r="B2" s="23" t="inlineStr">
        <is>
          <t>LinkedIn</t>
        </is>
      </c>
      <c r="C2" s="23" t="inlineStr">
        <is>
          <t>No iniciado</t>
        </is>
      </c>
    </row>
    <row r="3" ht="15" customHeight="1" s="19">
      <c r="A3" s="23" t="inlineStr">
        <is>
          <t>Cliente</t>
        </is>
      </c>
      <c r="B3" s="23" t="inlineStr">
        <is>
          <t>Email</t>
        </is>
      </c>
      <c r="C3" s="23" t="inlineStr">
        <is>
          <t>Investigando contacto</t>
        </is>
      </c>
    </row>
    <row r="4" ht="15" customHeight="1" s="19">
      <c r="A4" s="23" t="inlineStr">
        <is>
          <t>Conocido</t>
        </is>
      </c>
      <c r="B4" s="23" t="inlineStr">
        <is>
          <t>WhatsApp</t>
        </is>
      </c>
      <c r="C4" s="23" t="inlineStr">
        <is>
          <t>Contactado</t>
        </is>
      </c>
    </row>
    <row r="5" ht="15" customHeight="1" s="19">
      <c r="A5" s="23" t="inlineStr">
        <is>
          <t>Al amigo de un amigo</t>
        </is>
      </c>
      <c r="B5" s="23" t="inlineStr">
        <is>
          <t>Referido</t>
        </is>
      </c>
      <c r="C5" s="23" t="inlineStr">
        <is>
          <t>Respondió</t>
        </is>
      </c>
    </row>
    <row r="6" ht="15" customHeight="1" s="19">
      <c r="A6" s="23" t="inlineStr">
        <is>
          <t>Sin relación</t>
        </is>
      </c>
      <c r="B6" s="23" t="inlineStr">
        <is>
          <t>Evento</t>
        </is>
      </c>
      <c r="C6" s="23" t="inlineStr">
        <is>
          <t>Junta agendada</t>
        </is>
      </c>
    </row>
    <row r="7" ht="15" customHeight="1" s="19">
      <c r="A7" s="23" t="inlineStr">
        <is>
          <t>Por confirmar</t>
        </is>
      </c>
      <c r="B7" s="23" t="inlineStr">
        <is>
          <t>Intro de HQ</t>
        </is>
      </c>
      <c r="C7" s="23" t="inlineStr">
        <is>
          <t>Discovery hecho</t>
        </is>
      </c>
    </row>
    <row r="8" ht="15" customHeight="1" s="19">
      <c r="C8" s="23" t="inlineStr">
        <is>
          <t>Unit economics</t>
        </is>
      </c>
    </row>
    <row r="9" ht="15" customHeight="1" s="19">
      <c r="C9" s="23" t="inlineStr">
        <is>
          <t>Propuesta</t>
        </is>
      </c>
    </row>
    <row r="10" ht="15" customHeight="1" s="19">
      <c r="C10" s="23" t="inlineStr">
        <is>
          <t>Descartado</t>
        </is>
      </c>
    </row>
  </sheetData>
  <printOptions horizontalCentered="0" verticalCentered="0" headings="0" gridLines="0" gridLinesSet="1"/>
  <pageMargins left="0.35" right="0.35" top="0.4" bottom="0.4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8" min="1" max="1"/>
    <col width="34" customWidth="1" style="18" min="2" max="2"/>
    <col width="56" customWidth="1" style="18" min="3" max="3"/>
    <col width="60" customWidth="1" style="18" min="4" max="4"/>
  </cols>
  <sheetData>
    <row r="1" ht="15" customHeight="1" s="19">
      <c r="A1" s="35" t="inlineStr">
        <is>
          <t>Contactos que faltan — por buscar en Sales Navigator</t>
        </is>
      </c>
    </row>
    <row r="2" ht="15" customHeight="1" s="19">
      <c r="A2" s="22" t="inlineStr">
        <is>
          <t>Empresa</t>
        </is>
      </c>
      <c r="B2" s="22" t="inlineStr">
        <is>
          <t>Cargo objetivo</t>
        </is>
      </c>
      <c r="C2" s="22" t="inlineStr">
        <is>
          <t>Búsqueda sugerida en Sales Navigator</t>
        </is>
      </c>
      <c r="D2" s="22" t="inlineStr">
        <is>
          <t>Por qué importa</t>
        </is>
      </c>
    </row>
    <row r="3" ht="22.35" customHeight="1" s="19">
      <c r="A3" s="36" t="inlineStr">
        <is>
          <t>Innovasport</t>
        </is>
      </c>
      <c r="B3" s="36" t="inlineStr">
        <is>
          <t>VP Customer Experience &amp; Digital</t>
        </is>
      </c>
      <c r="C3" s="36" t="inlineStr">
        <is>
          <t>Empresa: Innovasport / Innvictus · Función: Marketing, Operaciones · Seniority: VP, Director</t>
        </is>
      </c>
      <c r="D3" s="36" t="inlineStr">
        <is>
          <t>Score de fit CPA más alto de retail: app nueva + AppsFlyer + RTB House + Criteo + afiliados</t>
        </is>
      </c>
    </row>
    <row r="4" ht="15" customHeight="1" s="19">
      <c r="A4" s="36" t="inlineStr">
        <is>
          <t>Jüsto</t>
        </is>
      </c>
      <c r="B4" s="36" t="inlineStr">
        <is>
          <t>Head of Growth / CMO</t>
        </is>
      </c>
      <c r="C4" s="36" t="inlineStr">
        <is>
          <t>Empresa: Jüsto · Título: Growth, Marketing · Seniority: Director+</t>
        </is>
      </c>
      <c r="D4" s="36" t="inlineStr">
        <is>
          <t>Grocery-tech con quema de CAC estructural y sin agencia</t>
        </is>
      </c>
    </row>
    <row r="5" ht="22.35" customHeight="1" s="19">
      <c r="A5" s="36" t="inlineStr">
        <is>
          <t>Alsea</t>
        </is>
      </c>
      <c r="B5" s="36" t="inlineStr">
        <is>
          <t>Director Digital / E-commerce</t>
        </is>
      </c>
      <c r="C5" s="36" t="inlineStr">
        <is>
          <t>Empresa: Alsea · Título: Digital, E-commerce, Marketing · Seniority: Director+</t>
        </is>
      </c>
      <c r="D5" s="36" t="inlineStr">
        <is>
          <t>Tu mejor entrada por red vía dentsu/Carat; presión de rentabilidad 1T2026</t>
        </is>
      </c>
    </row>
    <row r="6" ht="15" customHeight="1" s="19">
      <c r="A6" s="36" t="inlineStr">
        <is>
          <t>Viva</t>
        </is>
      </c>
      <c r="B6" s="36" t="inlineStr">
        <is>
          <t>Director de Marketing</t>
        </is>
      </c>
      <c r="C6" s="36" t="inlineStr">
        <is>
          <t>Empresa: Viva / Viva Aerobus · Función: Marketing · Seniority: Director+</t>
        </is>
      </c>
      <c r="D6" s="36" t="inlineStr">
        <is>
          <t>Ventana de fusión antes de que consoliden proveedores</t>
        </is>
      </c>
    </row>
    <row r="7" ht="15" customHeight="1" s="19">
      <c r="A7" s="36" t="inlineStr">
        <is>
          <t>Rappi México</t>
        </is>
      </c>
      <c r="B7" s="36" t="inlineStr">
        <is>
          <t>Head of Growth MX</t>
        </is>
      </c>
      <c r="C7" s="36" t="inlineStr">
        <is>
          <t>Empresa: Rappi · Geografía: México · Título: Growth</t>
        </is>
      </c>
      <c r="D7" s="36" t="inlineStr">
        <is>
          <t>Singular instalado; decisión en Bogotá pero abre México</t>
        </is>
      </c>
    </row>
    <row r="8" ht="22.35" customHeight="1" s="19">
      <c r="A8" s="36" t="inlineStr">
        <is>
          <t>Telcel</t>
        </is>
      </c>
      <c r="B8" s="36" t="inlineStr">
        <is>
          <t>Subdirector Mercadotecnia Digital</t>
        </is>
      </c>
      <c r="C8" s="36" t="inlineStr">
        <is>
          <t>Empresa: Telcel / Radiomóvil Dipsa · Título: Mercadotecnia Digital</t>
        </is>
      </c>
      <c r="D8" s="36" t="inlineStr">
        <is>
          <t>Único target con el mismo stack de data que LSIX (Retargetly, Lotame, LiveRamp)</t>
        </is>
      </c>
    </row>
    <row r="9" ht="15" customHeight="1" s="19">
      <c r="A9" s="36" t="inlineStr">
        <is>
          <t>Klar</t>
        </is>
      </c>
      <c r="B9" s="36" t="inlineStr">
        <is>
          <t>Head of Growth / VP Marketing</t>
        </is>
      </c>
      <c r="C9" s="36" t="inlineStr">
        <is>
          <t>Empresa: Klar · Título: Growth, Marketing, Adquisición</t>
        </is>
      </c>
      <c r="D9" s="36" t="inlineStr">
        <is>
          <t>Serie C fresca; hoy solo tienes al CEO</t>
        </is>
      </c>
    </row>
    <row r="10" ht="15" customHeight="1" s="19">
      <c r="A10" s="36" t="inlineStr">
        <is>
          <t>Cinépolis</t>
        </is>
      </c>
      <c r="B10" s="36" t="inlineStr">
        <is>
          <t>Director de Marketing actual</t>
        </is>
      </c>
      <c r="C10" s="36" t="inlineStr">
        <is>
          <t>Empresa: Cinépolis · Función: Marketing · Seniority: Director+</t>
        </is>
      </c>
      <c r="D10" s="36" t="inlineStr">
        <is>
          <t>El dato que tengo (Verónica Espinosa) es de 2017 y no es confiable</t>
        </is>
      </c>
    </row>
    <row r="11" ht="15" customHeight="1" s="19">
      <c r="A11" s="36" t="inlineStr">
        <is>
          <t>Grisi</t>
        </is>
      </c>
      <c r="B11" s="36" t="inlineStr">
        <is>
          <t>Confirmar nombre del CEO</t>
        </is>
      </c>
      <c r="C11" s="36" t="inlineStr">
        <is>
          <t>—</t>
        </is>
      </c>
      <c r="D11" s="36" t="inlineStr">
        <is>
          <t>Tú tienes la relación; solo hay que registrarla en el CRM</t>
        </is>
      </c>
    </row>
    <row r="12" ht="15" customHeight="1" s="19">
      <c r="A12" s="36" t="inlineStr">
        <is>
          <t>Farmacias Guadalajara</t>
        </is>
      </c>
      <c r="B12" s="36" t="inlineStr">
        <is>
          <t>Gerente E-commerce / Marketing</t>
        </is>
      </c>
      <c r="C12" s="36" t="inlineStr">
        <is>
          <t>Empresa: Farmacias Guadalajara · Título: E-commerce, Digital</t>
        </is>
      </c>
      <c r="D12" s="36" t="inlineStr">
        <is>
          <t>Alta inversión digital según Admetricks, sin contacto ni agencia identificada</t>
        </is>
      </c>
    </row>
  </sheetData>
  <printOptions horizontalCentered="0" verticalCentered="0" headings="0" gridLines="0" gridLinesSet="1"/>
  <pageMargins left="0.35" right="0.35" top="0.4" bottom="0.4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2026-08-22T13:16:16Z</dcterms:created>
  <dcterms:modified xmlns:dcterms="http://purl.org/dc/terms/" xmlns:xsi="http://www.w3.org/2001/XMLSchema-instance" xsi:type="dcterms:W3CDTF">2026-08-24T13:40:40Z</dcterms:modified>
  <cp:revision>0</cp:revision>
</cp:coreProperties>
</file>